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superfood\app\Documents\"/>
    </mc:Choice>
  </mc:AlternateContent>
  <xr:revisionPtr revIDLastSave="0" documentId="13_ncr:1_{A16DB708-F59D-49B2-8733-9F10162A72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quidación" sheetId="1" r:id="rId1"/>
    <sheet name="Preciario SAT BT" sheetId="2" r:id="rId2"/>
    <sheet name="Lista de Tiendas" sheetId="3" r:id="rId3"/>
    <sheet name="Inf. Cierre SAP C.M" sheetId="4" state="hidden" r:id="rId4"/>
  </sheets>
  <externalReferences>
    <externalReference r:id="rId5"/>
  </externalReferences>
  <definedNames>
    <definedName name="_xlnm.Print_Area" localSheetId="0">Liquidación!$A$1:$H$17</definedName>
    <definedName name="BD_EESS">#REF!</definedName>
    <definedName name="Tabla_zonas">[1]Hoja4!$J$5:$N$111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eP/A4Fyagq7YbD0rOA1rOwBLiDPSjuB5mD5hypswSUM="/>
    </ext>
  </extLst>
</workbook>
</file>

<file path=xl/calcChain.xml><?xml version="1.0" encoding="utf-8"?>
<calcChain xmlns="http://schemas.openxmlformats.org/spreadsheetml/2006/main">
  <c r="C10" i="1" l="1"/>
  <c r="H4" i="1"/>
  <c r="G3" i="4"/>
  <c r="G17" i="1"/>
  <c r="H17" i="1" s="1"/>
  <c r="E17" i="1"/>
  <c r="C17" i="1"/>
  <c r="G16" i="1"/>
  <c r="H16" i="1" s="1"/>
  <c r="E16" i="1"/>
  <c r="C16" i="1"/>
  <c r="G14" i="1"/>
  <c r="H14" i="1" s="1"/>
  <c r="E14" i="1"/>
  <c r="C14" i="1"/>
  <c r="G13" i="1"/>
  <c r="H13" i="1" s="1"/>
  <c r="E13" i="1"/>
  <c r="C13" i="1"/>
  <c r="G11" i="1"/>
  <c r="H11" i="1" s="1"/>
  <c r="E11" i="1"/>
  <c r="C11" i="1"/>
  <c r="G10" i="1"/>
  <c r="H10" i="1" s="1"/>
  <c r="E10" i="1"/>
  <c r="H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ID#AAABqCMZEH4
Lenovo    (2025-08-25 14:18:19)
RUC del Proveedor</t>
        </r>
      </text>
    </comment>
    <comment ref="G5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ID#AAABqCMZEIE
Lenovo    (2025-08-25 14:18:19)
Fecha de ejecución despues de aprobada la cotización</t>
        </r>
      </text>
    </comment>
    <comment ref="A8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ID#AAABqCMZEH8
tc={E85684FD-E5B9-458F-A265-BC5583F5D849}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la línea según su preciario adjudicado</t>
        </r>
      </text>
    </comment>
    <comment ref="B8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ID#AAABqCMZEIM
tc={E85684FD-E5B9-458E-A265-BC5583F5D849}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la línea según su preciario adjudicado</t>
        </r>
      </text>
    </comment>
    <comment ref="D8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ID#AAABqCMZEII
tc={3303A34A-8100-4E33-B6F7-C92F43A2A39B}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ve conveniente colocar algún comentario para alguna aclaración anotelo en esta columna</t>
        </r>
      </text>
    </comment>
    <comment ref="F8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ID#AAABqCMZEIA
tc={6315139F-7AC1-44F4-ABA8-40838974A148}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las cantidades según mantenimiento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dctl+LT2ZdHpIsGpvjNOT8vKLw=="/>
    </ext>
  </extLst>
</comments>
</file>

<file path=xl/sharedStrings.xml><?xml version="1.0" encoding="utf-8"?>
<sst xmlns="http://schemas.openxmlformats.org/spreadsheetml/2006/main" count="2717" uniqueCount="1650">
  <si>
    <t>COTIZACIÓN DE SERVICIOS</t>
  </si>
  <si>
    <t>N°</t>
  </si>
  <si>
    <t>56-01</t>
  </si>
  <si>
    <t>Servicio :</t>
  </si>
  <si>
    <t>N° de Solicitud:</t>
  </si>
  <si>
    <t>Categoria:</t>
  </si>
  <si>
    <t>II.EE. Baja Tensión</t>
  </si>
  <si>
    <t>RUC:</t>
  </si>
  <si>
    <t>Cliente:</t>
  </si>
  <si>
    <t>Tumbes - PVH</t>
  </si>
  <si>
    <t>CECO:</t>
  </si>
  <si>
    <t>Empresa :</t>
  </si>
  <si>
    <t>SAT INDUSTRIALES</t>
  </si>
  <si>
    <t>Jefe de Energía y SCI:</t>
  </si>
  <si>
    <t>Raul Quispe</t>
  </si>
  <si>
    <t>Fecha ejec:</t>
  </si>
  <si>
    <t>Cotizado Por:</t>
  </si>
  <si>
    <t>Fecha de cotización:</t>
  </si>
  <si>
    <t>Total:</t>
  </si>
  <si>
    <t>Solo digitar las columnas y celdas en celeste</t>
  </si>
  <si>
    <t>Item</t>
  </si>
  <si>
    <t>Línea</t>
  </si>
  <si>
    <t>Descripción de línea del preciario</t>
  </si>
  <si>
    <t>Comentario</t>
  </si>
  <si>
    <t>Unidad</t>
  </si>
  <si>
    <t>Cant.</t>
  </si>
  <si>
    <t>P.u</t>
  </si>
  <si>
    <t>Subtotal</t>
  </si>
  <si>
    <t>VIATICOS</t>
  </si>
  <si>
    <t>SUMINISTRO</t>
  </si>
  <si>
    <t>MCBT146</t>
  </si>
  <si>
    <t>MCBT178</t>
  </si>
  <si>
    <t>MCBT243</t>
  </si>
  <si>
    <t>MANO DE OBRA</t>
  </si>
  <si>
    <t>MCBT01</t>
  </si>
  <si>
    <t>MPBT09</t>
  </si>
  <si>
    <r>
      <rPr>
        <b/>
        <sz val="11"/>
        <color theme="1"/>
        <rFont val="Calibri"/>
      </rPr>
      <t>PRECIARIO ADJUDICADO</t>
    </r>
    <r>
      <rPr>
        <b/>
        <sz val="11"/>
        <color rgb="FFFF0000"/>
        <rFont val="Calibri"/>
      </rPr>
      <t xml:space="preserve"> ENERGY</t>
    </r>
    <r>
      <rPr>
        <b/>
        <sz val="11"/>
        <color theme="1"/>
        <rFont val="Calibri"/>
      </rPr>
      <t>: IIEE BAJA TENSIÓN</t>
    </r>
  </si>
  <si>
    <t>Precios no incluyen IGV</t>
  </si>
  <si>
    <t>Esta hoja es inmodificable</t>
  </si>
  <si>
    <t>LÍNEA
SAP</t>
  </si>
  <si>
    <t>DESCRIPCIÓN LINEA SAP DIAR INGENIEROS IIEE BT</t>
  </si>
  <si>
    <t>UNIDAD</t>
  </si>
  <si>
    <t>P.U.</t>
  </si>
  <si>
    <t>Mantenimiento Preventivo Baja Tensión</t>
  </si>
  <si>
    <t>MPBT01</t>
  </si>
  <si>
    <t>MP TABLERO ADOSADO O EMPOTRADO</t>
  </si>
  <si>
    <t>MPBT02</t>
  </si>
  <si>
    <t>MP TABLERO AUTOSOPORTADO</t>
  </si>
  <si>
    <t>MPBT03</t>
  </si>
  <si>
    <t>MP POZO A TIERRA T_CONVENCIONAL BT</t>
  </si>
  <si>
    <t>MPBT04</t>
  </si>
  <si>
    <t>MP POZO A TIERRA T_MALLA BT</t>
  </si>
  <si>
    <t>MPBT05</t>
  </si>
  <si>
    <t>MP TABLERO BCO CONDENSADORES</t>
  </si>
  <si>
    <t>MPBT06</t>
  </si>
  <si>
    <t>MP GENERADOR ESTATICO REACTIVOS</t>
  </si>
  <si>
    <t>MPBT07</t>
  </si>
  <si>
    <t>MP FILTRO DE ARMONICOS</t>
  </si>
  <si>
    <t>MPBT08</t>
  </si>
  <si>
    <t>SERV. MP VARIADORES</t>
  </si>
  <si>
    <t>PDR PREVENCIONISTA BT (HONORARIOS)</t>
  </si>
  <si>
    <t>POR VISITA / SEDE</t>
  </si>
  <si>
    <t>MPBT10</t>
  </si>
  <si>
    <t>VIATICO DIA ADICIONAL RUTA  (HOSPEDAJE Y ALIMENTACIÓN)</t>
  </si>
  <si>
    <t>POR RUTA X SEDE X DIA</t>
  </si>
  <si>
    <t>MPBT11</t>
  </si>
  <si>
    <t>GESTION INVENTARIO ELEC TIENDA DE  0 A 10 EQUIPOS</t>
  </si>
  <si>
    <t>TIENDA</t>
  </si>
  <si>
    <t>MPBT12</t>
  </si>
  <si>
    <t>GESTION INVENTARIO ELEC TIENDA DE  11 A 20 EQUIPOS</t>
  </si>
  <si>
    <t>MPBT13</t>
  </si>
  <si>
    <t>GESTION INVENTARIO ELEC TIENDA DE  21 A 30 EQUIPOS</t>
  </si>
  <si>
    <t>MPBT14</t>
  </si>
  <si>
    <t>GESTION INVENTARIO ELEC TIENDA DE  31 A 40 EQUIPOS</t>
  </si>
  <si>
    <t>MPBT15</t>
  </si>
  <si>
    <t>GESTION INVENTARIO ELEC TIENDA DE  41 A 50 EQUIPOS</t>
  </si>
  <si>
    <t>MPBT16</t>
  </si>
  <si>
    <t>GESTION INVENTARIO ELEC TIENDA DE  51 A 60 EQUIPOS</t>
  </si>
  <si>
    <t>MPBT17</t>
  </si>
  <si>
    <t>GESTION INVENTARIO ELEC TIENDA DE  61 A 70 EQUIPOS</t>
  </si>
  <si>
    <t>MPBT18</t>
  </si>
  <si>
    <t>GESTION INVENTARIO ELEC TIENDA DE  71 A 80 EQUIPOS</t>
  </si>
  <si>
    <t>MPBT19</t>
  </si>
  <si>
    <t>GESTION INVENTARIO ELEC TIENDA DE  81 A 90 EQUIPOS</t>
  </si>
  <si>
    <t>MPBT20</t>
  </si>
  <si>
    <t>GESTION INVENTARIO ELEC TIENDA DE  91 A 100 EQUIPOS</t>
  </si>
  <si>
    <t>MPBT21</t>
  </si>
  <si>
    <t>GESTION INVENTARIO ELEC TIENDA DE  MÁS DE 100 EQUIPOS</t>
  </si>
  <si>
    <t>MPBT22</t>
  </si>
  <si>
    <t>VIATICO LIMA ( CAÑETE, MALA) - ALIMENTACIÓN, HOSPEDAJE Y PASAJE I/V</t>
  </si>
  <si>
    <t>POR RUTA /  DIA / SEDE</t>
  </si>
  <si>
    <t>NA</t>
  </si>
  <si>
    <t>MPBT23</t>
  </si>
  <si>
    <t>VIATICO SUR CHICO ( ASIA) - ALIMENTACIÓN, HOSPEDAJE Y PASAJE I/V</t>
  </si>
  <si>
    <t>MPBT24</t>
  </si>
  <si>
    <t>VIATICO SUR ( AREQUIPA) - ALIMENTACIÓN, HOSPEDAJE Y PASAJE I/V</t>
  </si>
  <si>
    <t>MPBT25</t>
  </si>
  <si>
    <t>VIATICO SUR ( CUSCO) - ALIMENTACIÓN, HOSPEDAJE Y PASAJE I/V</t>
  </si>
  <si>
    <t>MPBT26</t>
  </si>
  <si>
    <t>VIATICO SUR ( ILO) - ALIMENTACIÓN, HOSPEDAJE Y PASAJE I/V</t>
  </si>
  <si>
    <t>MPBT27</t>
  </si>
  <si>
    <t>VIATICO SUR ( JULIACA) - ALIMENTACIÓN, HOSPEDAJE Y PASAJE I/V</t>
  </si>
  <si>
    <t>MPBT28</t>
  </si>
  <si>
    <t>VIATICO SUR ( MOQUEGUA) - ALIMENTACIÓN, HOSPEDAJE Y PASAJE I/V</t>
  </si>
  <si>
    <t>MPBT29</t>
  </si>
  <si>
    <t>VIATICO SUR ( PUNO) - ALIMENTACIÓN, HOSPEDAJE Y PASAJE I/V</t>
  </si>
  <si>
    <t>MPBT30</t>
  </si>
  <si>
    <t>VIATICO SUR ( TACNA) - ALIMENTACIÓN, HOSPEDAJE Y PASAJE I/V</t>
  </si>
  <si>
    <t>MPBT31</t>
  </si>
  <si>
    <t>VIATICO SUR CHICO ( CHINCHA) - ALIMENTACIÓN, HOSPEDAJE Y PASAJE I/V</t>
  </si>
  <si>
    <t>MPBT32</t>
  </si>
  <si>
    <t>VIATICO SUR CHICO ( ICA) - ALIMENTACIÓN, HOSPEDAJE Y PASAJE I/V</t>
  </si>
  <si>
    <t>MPBT33</t>
  </si>
  <si>
    <t>VIATICO SUR CHICO ( PISCO) - ALIMENTACIÓN, HOSPEDAJE Y PASAJE I/V</t>
  </si>
  <si>
    <t>MPBT34</t>
  </si>
  <si>
    <t>MPBT35</t>
  </si>
  <si>
    <t>VIATICO CENTRO ( HUANCAYO) - ALIMENTACIÓN, HOSPEDAJE Y PASAJE I/V</t>
  </si>
  <si>
    <t>MPBT36</t>
  </si>
  <si>
    <t>VIATICO NORTE ( CAJAMARCA) - ALIMENTACIÓN, HOSPEDAJE Y PASAJE I/V</t>
  </si>
  <si>
    <t>MPBT37</t>
  </si>
  <si>
    <t>VIATICO NORTE ( TRUJILLO) - ALIMENTACIÓN, HOSPEDAJE Y PASAJE I/V</t>
  </si>
  <si>
    <t>MPBT38</t>
  </si>
  <si>
    <t>VIATICO NORTE ( CHICLAYO) - ALIMENTACIÓN, HOSPEDAJE Y PASAJE I/V</t>
  </si>
  <si>
    <t>MPBT39</t>
  </si>
  <si>
    <t>VIATICO NORTE ( CHIMBOTE) - ALIMENTACIÓN, HOSPEDAJE Y PASAJE I/V</t>
  </si>
  <si>
    <t>MPBT40</t>
  </si>
  <si>
    <t>VIATICO NORTE ( PIURA) - ALIMENTACIÓN, HOSPEDAJE Y PASAJE I/V</t>
  </si>
  <si>
    <t>MPBT41</t>
  </si>
  <si>
    <t>VIATICO NORTE ( JAÉN) - ALIMENTACIÓN, HOSPEDAJE Y PASAJE I/V</t>
  </si>
  <si>
    <t>MPBT42</t>
  </si>
  <si>
    <t>VIATICO NORTE ( PAITA) - ALIMENTACIÓN, HOSPEDAJE Y PASAJE I/V</t>
  </si>
  <si>
    <t>MPBT43</t>
  </si>
  <si>
    <t>VIATICO NORTE ( SULLANA) - ALIMENTACIÓN, HOSPEDAJE Y PASAJE I/V</t>
  </si>
  <si>
    <t>MPBT44</t>
  </si>
  <si>
    <t>VIATICO NORTE ( TALARA) - ALIMENTACIÓN, HOSPEDAJE Y PASAJE I/V</t>
  </si>
  <si>
    <t>MPBT45</t>
  </si>
  <si>
    <t>VIATICO NORTE ( TUMBES) - ALIMENTACIÓN, HOSPEDAJE Y PASAJE I/V</t>
  </si>
  <si>
    <t>MPBT46</t>
  </si>
  <si>
    <t>VIATICO NORTE CHICO ( BARRANCA) - ALIMENTACIÓN, HOSPEDAJE Y PASAJE I/V</t>
  </si>
  <si>
    <t>MPBT47</t>
  </si>
  <si>
    <t>VIATICO NORTE CHICO ( HUACHO) - ALIMENTACIÓN, HOSPEDAJE Y PASAJE I/V</t>
  </si>
  <si>
    <t>MPBT48</t>
  </si>
  <si>
    <t>VIATICO NORTE CHICO ( HUARAL) - ALIMENTACIÓN, HOSPEDAJE Y PASAJE I/V</t>
  </si>
  <si>
    <t>MPBT49</t>
  </si>
  <si>
    <t>VIATICO ORIENTE ( HUÁNUCO) - ALIMENTACIÓN, HOSPEDAJE Y PASAJE I/V</t>
  </si>
  <si>
    <t>MPBT50</t>
  </si>
  <si>
    <t>VIATICO ORIENTE ( PUCALLPA) - ALIMENTACIÓN, HOSPEDAJE Y PASAJE I/V</t>
  </si>
  <si>
    <t>MPBT51</t>
  </si>
  <si>
    <t>VIATICO ORIENTE ( TARAPOTO) - ALIMENTACIÓN, HOSPEDAJE Y PASAJE I/V</t>
  </si>
  <si>
    <t>MPBT52</t>
  </si>
  <si>
    <t>LIMPIEZA DE PANTALLA Y/O DIFUSOR DE LUMINARIA EN EXTERIORES MAX 15M  (POSTES, PAREDES, ETC, INCLUYE TODAS LAS FACILIDADES QUE SE REQUIERAN PARA EJECUTAR EL TRABAJO EN ALTURA).</t>
  </si>
  <si>
    <t>DE 1 A 20 UNIDADES</t>
  </si>
  <si>
    <t>MPBT53</t>
  </si>
  <si>
    <t>DE 21 A 50 UNIDADES</t>
  </si>
  <si>
    <t>MPBT54</t>
  </si>
  <si>
    <t>DE 51 A 70 UNIDADES</t>
  </si>
  <si>
    <t>MPBT55</t>
  </si>
  <si>
    <t>DE 71  A MÁS UNIDADES</t>
  </si>
  <si>
    <t>MPBT56</t>
  </si>
  <si>
    <t>LIMPIEZA DE PANTALLA Y/O DIFUSOR DE LUMINARIA EN SALA DE VENTAS MAX. 5M (INCLUYE TODAS LAS FACILIDADES QUE SE REQUIERAN PARA EJECUTAR EL TRABAJO EN ALTURA).</t>
  </si>
  <si>
    <t>MPBT57</t>
  </si>
  <si>
    <t>MPBT58</t>
  </si>
  <si>
    <t>MPBT59</t>
  </si>
  <si>
    <t>MPBT60</t>
  </si>
  <si>
    <t>LIMPIEZA DE PANTALLA Y/O DIFUSOR DE LUMINARIA EN TRANSTIENDA MAX. 3.5M (OFICINAS, ALMACENES, SSHH, PLAYA ESTACIONAMIENTO, ETC, INCLUYE TODAS LAS FACILIDADES QUE SE REQUIERAN PARA EJECUTAR EL TRABAJO EN ALTURA).</t>
  </si>
  <si>
    <t>MPBT61</t>
  </si>
  <si>
    <t>MPBT62</t>
  </si>
  <si>
    <t>MPBT63</t>
  </si>
  <si>
    <t>MPBT64</t>
  </si>
  <si>
    <t>LIMPIEZA DE PANTALLA Y/O DIFUSOR DE LUMINARIA EN TRANSTIENDA MAX. 5M (OFICINAS, ALMACENES, SSHH, PLAYA ESTACIONAMIENTO, ETC, INCLUYE TODAS LAS FACILIDADES QUE SE REQUIERAN PARA EJECUTAR EL TRABAJO EN ALTURA).</t>
  </si>
  <si>
    <t>MPBT65</t>
  </si>
  <si>
    <t>MPBT66</t>
  </si>
  <si>
    <t>MPBT67</t>
  </si>
  <si>
    <t>Mantenimiento Correctivos Baja Tensión</t>
  </si>
  <si>
    <t>ASISTENCIA TÉCNICA PARA EMERGENCIAS (SERVICIO PROFESIONAL PARA DIAGNÓSTICO Y SOLUCIONES PARCIALES INCLUYE LAS DERIVADAS DE VISITAS INDECI, OSINERGMIN Y DEFENSA CIVI,  DEBE CONTEMPLAR CONSUMIBLES MENORES).</t>
  </si>
  <si>
    <t>MCBT02</t>
  </si>
  <si>
    <t>DE 1 A 10 EVENTO / MES</t>
  </si>
  <si>
    <t>MCBT03</t>
  </si>
  <si>
    <t>DE 11 A 20 EVENTOS/ MES</t>
  </si>
  <si>
    <t>MCBT04</t>
  </si>
  <si>
    <t>DE 21 A 40 EVENTOS/ MES</t>
  </si>
  <si>
    <t>MCBT05</t>
  </si>
  <si>
    <t>ACONDICIONAMIENTO DE TABLERO ELÉCTRICO (INCLUYE EL ORDENAMIENDO Y PEINADO DE TODOS LOS CABLES, MONTAJE Y/O AJUSTE DE TODOS LAS CONEXIONES EN LOS INTERRUPTORES, CINTILLOS, CINTA ESPIRAL, OTROS).</t>
  </si>
  <si>
    <t>MCBT06</t>
  </si>
  <si>
    <t>ACTUALIZACIÓN DE DIAGRAMA UNIFILAR DIGITAL SEGÚN ESTANDAR (ESTA LÍNEA SOLO APLICA PARA CASOS QUE ESTÉN FUERA DEL MANTENIMIENTO PREVENTIVO Y LAS OBSERVACIONES QUE DERIVEN DE ELLA)</t>
  </si>
  <si>
    <t>MCBT07</t>
  </si>
  <si>
    <t>ADOSAMIENTO DE TABLERO ELÉCTRICO (INCLUYE MATERIALES DE FIJACIÓN: PERNOS, ARANDELAS, OTROS).</t>
  </si>
  <si>
    <t>MCBT08</t>
  </si>
  <si>
    <t>ANÁLISIS FÍSICO QUÍMICO DE ACEITE DE TRANSFORMADOR (ESTÁ LÍNEA NO APLICA PARA LOS MANTENIMIENTOS PREVENTIVOS )</t>
  </si>
  <si>
    <t>MCBT09</t>
  </si>
  <si>
    <t>ANULACIÓN DE CIRCUITO ELÉCTRICO (INCLUYE DESCONEXIÓN Y RETIRO DE CABLES Y/O ITM. ESTA LÍNEA SE USARÁ EXCLUSIVAMENTE CUANDO SE SOLICITE LA ANULACIÓN DE UN CIRCUITO POR EL RETIRO DE UNA CARGA O BAJA DE ALGÚN ACTIVO.</t>
  </si>
  <si>
    <t>MCBT10</t>
  </si>
  <si>
    <t xml:space="preserve">ATERRAMIENTO DE EQUIPOS ELECTRICOS (GRUPOS ELECTRÓGENOS)  INCLUYE CABLE (MÁXIMO 1ML), TERMINALES Y ACCESORIOS DE SUJECCIÓN PARA CULMINAR EL TRABAJO </t>
  </si>
  <si>
    <t>MCBT11</t>
  </si>
  <si>
    <t xml:space="preserve">ATERRAMIENTO DE EQUIPOS ELECTRICOS (HVA, EXTRACTORES, VENTILADORES, BOMBAS,ETC)  INCLUYE CABLE (MÁXIMO 1ML), TERMINALES Y ACCESORIOS DE SUJECCIÓN PARA CULMINAR EL TRABAJO </t>
  </si>
  <si>
    <t>MCBT12</t>
  </si>
  <si>
    <t xml:space="preserve">ATERRAMIENTO DE TABLEROS ELECTRICOS INCLUYE CABLE (MÁXIMO 1ML), TERMINALES Y ACCESORIOS DE SUJECCIÓN PARA CULMINAR EL TRABAJO </t>
  </si>
  <si>
    <t>MCBT13</t>
  </si>
  <si>
    <t>CALADO DE MANDIL PARA ADICONAR PROTECIONES ELÉCTRICAS O DISPOSITIVOS.</t>
  </si>
  <si>
    <t>MCBT14</t>
  </si>
  <si>
    <t>CAMBIO DE CHAPA EN TABLERO ELÉCTRICO.</t>
  </si>
  <si>
    <t>MCBT15</t>
  </si>
  <si>
    <t>CAMBIO DE EMPAQUETADURAS ALTA Y BAJA TENSIÓN  EN AISLADORES</t>
  </si>
  <si>
    <t>MCBT16</t>
  </si>
  <si>
    <t>CAMBIO DE JEBE DE PUERTA (INCLUYE EL SUMINISTRO DEL JEBE)</t>
  </si>
  <si>
    <t>MCBT17</t>
  </si>
  <si>
    <t xml:space="preserve">CAMBIO DE VENTILADORES O REJILLAS DE VENTILACIÓN. </t>
  </si>
  <si>
    <t>MCBT18</t>
  </si>
  <si>
    <t>CAMBIO O INSTALACIÓN DE LUMINARIA EN SALA DE VENTAS (INCLUYE DESINTALACIÓN Y RECURSOS PARA TRABAJOS EN ALTURA)</t>
  </si>
  <si>
    <t>MCBT19</t>
  </si>
  <si>
    <t>CAMBIO O INSTALACIÓN DE LUMINARIA EN TRANSTIENDA (OFICINAS, SSHH (MAX 3.5MT) ALMACENES,PLAYA DE ESTACIONAMIENTO (MAXIMO 14 MT) ETC, INCLUYE DESINTALACIÓN Y RECURSOS PARA TRABAJOS EN ALTURA)</t>
  </si>
  <si>
    <t>MCBT20</t>
  </si>
  <si>
    <t>CAMBIO O INSTALACIÓN DE TOMACORRIENTE (PLACA + DADOS).</t>
  </si>
  <si>
    <t>MCBT21</t>
  </si>
  <si>
    <t>CIERRE Y COMPACTACIÓN DE ZANJA DE ACUERDO A NORMAS CON TIERRA CERNIDA Y COMPACTACIÓN POR CAPAS (A TODO COSTO).</t>
  </si>
  <si>
    <t>M3</t>
  </si>
  <si>
    <t>MCBT22</t>
  </si>
  <si>
    <t>COLOCACION DE MANGA TERMOCONTRAIBLE EN CIRCUITO ELÉCTRICO (CONTEMPLA LAS 2 O 3 FASES Y EL SUMINISTRO DEL MATERIAL)</t>
  </si>
  <si>
    <t>MCBT23</t>
  </si>
  <si>
    <t>CONEXIÓN Y FIJACIÓN DEL CABLE DE PAT A LA VARILLA DE COBRE (CON CONECTOR TIPO AB).</t>
  </si>
  <si>
    <t>MCBT24</t>
  </si>
  <si>
    <t>CONSTRUCCIÓN DE POZO A TIERRA (A TODO COSTO)</t>
  </si>
  <si>
    <t>GLB</t>
  </si>
  <si>
    <t>MCBT25</t>
  </si>
  <si>
    <t>CORTE DE LOSA DE CONCRETO Y/O PAVIMENTO.</t>
  </si>
  <si>
    <t>ML</t>
  </si>
  <si>
    <t>MCBT26</t>
  </si>
  <si>
    <t>DESMONTAJE Y POSTERIOR MONTAJE DE REFLECTOR (INCLUYE EL RETIRO Y/O MONTAJE DEL PASTORAL) EN POSTE DE ALUMBRADO (INCLUYE LA DESCONEXIÓN Y CONEXIÓN DE LOS EQUIPOS Y/O ELEMENTOS, INCLUYE RECURSOS PARA TRABAJOS EN ALTURA)</t>
  </si>
  <si>
    <t>MCBT27</t>
  </si>
  <si>
    <t>EMPALME CAB_ELEC  (3 FASES) DE 16 MM2 DE SECCIÓN CON SUMINISTRO DE KIT DE EMPALME.</t>
  </si>
  <si>
    <t>MCBT28</t>
  </si>
  <si>
    <t>EMPALME CAB_ELEC  (3 FASES) DE 25 A 50 MM2 DE SECCIÓN CON SUMINISTRO DE KIT DE EMPALME.</t>
  </si>
  <si>
    <t>MCBT29</t>
  </si>
  <si>
    <t>EMPALME CAB_ELEC  (3 FASES) DE 70 A 90 MM2 O MÁS DE SECCIÓN CON SUMINISTRO DE KIT DE EMPALME.</t>
  </si>
  <si>
    <t>MCBT30</t>
  </si>
  <si>
    <t>EMPALME CAB_ELEC  (3 FASES) DE 95 A 185 MM2 O MÁS DE SECCIÓN CON SUMINISTRO DE KIT DE EMPALME.</t>
  </si>
  <si>
    <t>MCBT31</t>
  </si>
  <si>
    <t>EXCAVACIÓN DE ZANJA</t>
  </si>
  <si>
    <t>MCBT32</t>
  </si>
  <si>
    <t>FIJACIÓN, ASEGURAMIENTO Y/O AJUSTE DE ACCESORIOS (TOMACORRIENTES, MANDILES DE TABLERO, PULSADOR DE EMERGENCIA, INTERRUPTORES). INCLUYE MATERIALES CONSUMIBLES</t>
  </si>
  <si>
    <t>MCBT33</t>
  </si>
  <si>
    <t>FIJACIÓN, ASEGURAMIENTO Y/O AJUSTE DE LUMINARIA (POR DESPRENDIMIENTO Y/O PELIGRO DE CAÍDA). INCLUYE MATERIALES CONSUMIBLES</t>
  </si>
  <si>
    <t>MCBT34</t>
  </si>
  <si>
    <t>IDENTIFICACIÓN DE CIRCUITO ELÉCTRICO (MONOFASICO O TRIFÁSICO)</t>
  </si>
  <si>
    <t>MCBT35</t>
  </si>
  <si>
    <t>IDENTIFICACIÓN DE POZO A TIERRA: PINTADO DE TAPA DE POZO Y DE SU CÓDIGO CORRESPONDIENTE (INCLUYE LOS MATERIALES CONSUMIBLES).</t>
  </si>
  <si>
    <t>MCBT36</t>
  </si>
  <si>
    <t>INSTALACIÓN DE BOBINA DE DISPARO EN ITM DE CAJA MOLDEABLE</t>
  </si>
  <si>
    <t>MCBT37</t>
  </si>
  <si>
    <t>INSTALACIÓN DE BORNERA (TIPO REGLETA, TIPO RIEL DIN, OTROS).</t>
  </si>
  <si>
    <t>MCBT38</t>
  </si>
  <si>
    <t>INSTALACIÓN DE CONTACTOR, TELERRUPTORES (HASTA 120 AMP.)</t>
  </si>
  <si>
    <t>MCBT39</t>
  </si>
  <si>
    <t>INST DISPOSIT DIFEREN (DE 63 A 100 AMP.)</t>
  </si>
  <si>
    <t>MCBT40</t>
  </si>
  <si>
    <t>INST DISPOSIT DIFEREN (HASTA 40 AMP.)</t>
  </si>
  <si>
    <t>MCBT41</t>
  </si>
  <si>
    <t>INST_ENCHUFE 2P+T EN INDUSTRIAL TIPO MENEKE O SIMILAR EN CABLE ELÉCTRICO DE 63 HASTA 125A</t>
  </si>
  <si>
    <t>MCBT42</t>
  </si>
  <si>
    <t>INST_ENCHUFE 2P+T INDUSTRIAL TIPO MENEKE O SIMILAR EN CABLE ELÉCTRICO. DE 16  HASTA 32A</t>
  </si>
  <si>
    <t>MCBT43</t>
  </si>
  <si>
    <t>INST_ENCHUFE 3P+T O 3P+N+T EN INDUSTRIAL TIPO MENEKE O SIMILAR EN CABLE ELÉCTRICO DE 63 HASTA 125A</t>
  </si>
  <si>
    <t>MCBT44</t>
  </si>
  <si>
    <t>INST_ENCHUFE 3P+T O 3P+N+T INDUSTRIAL TIPO MENEKE O SIMILAR EN CABLE ELÉCTRICO. DE 16  HASTA 32A</t>
  </si>
  <si>
    <t>MCBT45</t>
  </si>
  <si>
    <t>INST_ENCHUFE SIMPLE MONOFASICO EN CABLE ELÉCTRICO HASTA 16A</t>
  </si>
  <si>
    <t>MCBT46</t>
  </si>
  <si>
    <t>INST_ESTABILIZ_ DE TENSIÓN DE 3 A 6 KVA</t>
  </si>
  <si>
    <t>MCBT47</t>
  </si>
  <si>
    <t>INST_ESTABILIZ_ DE TENSIÓN DE 7 A 10 KVA</t>
  </si>
  <si>
    <t>MCBT48</t>
  </si>
  <si>
    <t>INST_ESTABILIZ_ FERRORESONANTE 3 A 6 KVA</t>
  </si>
  <si>
    <t>MCBT49</t>
  </si>
  <si>
    <t>INST_ESTABILIZ_ FERRORESONANTE 7 A 10 KVA</t>
  </si>
  <si>
    <t>MCBT50</t>
  </si>
  <si>
    <t>INSTALACIÓN DE FUSIBLE (INCLUYE DESINSTALACIÓN)</t>
  </si>
  <si>
    <t>MCBT51</t>
  </si>
  <si>
    <t>INST_ INTERRUP_SIMPLE/DOBLE/3 O 4 VÍAS (PLACA + DADOS).</t>
  </si>
  <si>
    <t>MCBT52</t>
  </si>
  <si>
    <t>INST_INTERRUP_TERMOMAG_ TIPO CAJA MOLDEADA  MAYOR A 120 HASTA 250A</t>
  </si>
  <si>
    <t>MCBT53</t>
  </si>
  <si>
    <t>INST_INTERRUP_TERMOMAG_ TIPO CAJA MOLDEADA MAYOR A 250 HASTA 500A</t>
  </si>
  <si>
    <t>MCBT54</t>
  </si>
  <si>
    <t>INST_INTERRUP_TERMOMAG_ TIPO CAJA MOLDEADA MAYOR A 500 HASTA 800A</t>
  </si>
  <si>
    <t>MCBT55</t>
  </si>
  <si>
    <t>INST_INTERRUP_TERMOMAG_ TIPO CAJA MOLDEADA MAYOR A 800 HASTA 1000A</t>
  </si>
  <si>
    <t>MCBT56</t>
  </si>
  <si>
    <t>INST_INTERRUP_TERMOMAG_, PULSADOR, SELECTOR O CONMUTADOR DE 63 A 120 AMP. (TRIPOLAR)</t>
  </si>
  <si>
    <t>MCBT57</t>
  </si>
  <si>
    <t>INST_INTERRUP_TERMOMAG_, PULSADOR, SELECTOR O CONMUTADOR HASTA 63 AMP. (TRIPOLAR)</t>
  </si>
  <si>
    <t>MCBT58</t>
  </si>
  <si>
    <t>INSTAL_PORTA PLANOS PARA TABLEROS ELÉCTRICOS (INCLUYE DESINSTALACIÓN EN CASO SEA NECESARIO)</t>
  </si>
  <si>
    <t>MCBT59</t>
  </si>
  <si>
    <t>INSTAL_RELÉ TÉRMICO (HASTA 63 AMP.)</t>
  </si>
  <si>
    <t>MCBT60</t>
  </si>
  <si>
    <t>INSTAL_RELES Y SENSORES TOROIDALES DE FUGAS A TIERRA EN ACOMETIDAS Y SUBACOMETIDAS</t>
  </si>
  <si>
    <t>MCBT61</t>
  </si>
  <si>
    <t>INSTAL_STICKER (RÓTULO) EN TABLERO ELÉCTRICO, DE 11 A 20 RÓTULOS</t>
  </si>
  <si>
    <t>MCBT62</t>
  </si>
  <si>
    <t>INSTAL_STICKER (RÓTULO) EN TABLERO ELÉCTRICO, DE 21 A MÁS RÓTULOS</t>
  </si>
  <si>
    <t>MCBT63</t>
  </si>
  <si>
    <t>INSTAL_STICKER (RÓTULO) EN TABLERO ELÉCTRICO, DE 3 A 10 RÓTULOS</t>
  </si>
  <si>
    <t>MCBT64</t>
  </si>
  <si>
    <t>INSTAL_SUPRESOR DE PICOS</t>
  </si>
  <si>
    <t>MCBT65</t>
  </si>
  <si>
    <t>INSTAL_TABLERO DISTRIBUCIÓN METÁLICO 14 POLOS</t>
  </si>
  <si>
    <t>MCBT66</t>
  </si>
  <si>
    <t>INSTAL_TAPA CIEGA PARA INTERRUPTORES, TOMACORRIENTES, OTROS.</t>
  </si>
  <si>
    <t>MCBT67</t>
  </si>
  <si>
    <t>INSTAL_TAPA DE RESERVA EN TABLERO ELÉCTRICO (PARA CUBRIR ESPACIOS DONDE SE INSTALAN LOS INTERRUPTORES)</t>
  </si>
  <si>
    <t>MCBT68</t>
  </si>
  <si>
    <t>INSTAL_TAPÓN EN TUBERÍA Y/O NIPLERÍA.</t>
  </si>
  <si>
    <t>MCBT69</t>
  </si>
  <si>
    <t>INSTAL_TERMINALES DESDE 35 MM2 HASTA 120 MM2</t>
  </si>
  <si>
    <t>MCBT70</t>
  </si>
  <si>
    <t>INSTAL_TERMINALES PARA CABLES DESDE 1.5 MM2 HASTA 6 MM2 DE Ø.</t>
  </si>
  <si>
    <t>MCBT71</t>
  </si>
  <si>
    <t>INSTAL_TERMINALES PARA CABLES DESDE 10 MM2 HASTA 25 MM2 DE Ø.</t>
  </si>
  <si>
    <t>MCBT72</t>
  </si>
  <si>
    <t>INSTAL_TRANSFORMADOR DE AISLAMIENTO O TENSIÓN 3 A 6 KVA 3? O 3?+N</t>
  </si>
  <si>
    <t>MCBT73</t>
  </si>
  <si>
    <t>INSTAL_TRANSFORMADOR DE AISLAMIENTO O TENSIÓN 7 A 10 KVA 3? O 3?+N</t>
  </si>
  <si>
    <t>MCBT74</t>
  </si>
  <si>
    <t>INSTAL_TRANSFORMADOR DE AISLAMIENTO TENSIÓN 11 A 20 KVA 3? O 3?+N</t>
  </si>
  <si>
    <t>MCBT75</t>
  </si>
  <si>
    <t>INSTALACIÓN TABLERO DE PVC DE 10 A 12 POLOS</t>
  </si>
  <si>
    <t>MCBT76</t>
  </si>
  <si>
    <t>INSTALACIÓN Y PROGRAMACIÓN DE INTERRUPTOR HORARIO (TIMER)</t>
  </si>
  <si>
    <t>MCBT77</t>
  </si>
  <si>
    <t>MEGADO DE CONDUCTOR (ESTA LÍNEA APLICA SÓLO PARA CASOS QUE ESTÉN FUERA DEL MANTENIMIENTO PREVENTIVO Y LAS OBSERVACIONES QUE DERIVEN DE ELLA)</t>
  </si>
  <si>
    <t>MCBT78</t>
  </si>
  <si>
    <t>MONTAJE DE BARRA DE COBRE EN TABLERO ELÉCTRICO</t>
  </si>
  <si>
    <t>MCBT79</t>
  </si>
  <si>
    <t>MONTAJE DE CABLES DE SECCIÓN HASTA 16 MM2. INCLUYE EL DESMONTAJE DEL CABLEADO EN MAL ESTADO.
NOTA: EL PRECIO DE ESTA LÍNEA ES POR ML DEL TENDIDO E INCLUYE LAS 2, 3 O TODAS LAS FASES DEL CIRCUITO.</t>
  </si>
  <si>
    <t>MCBT80</t>
  </si>
  <si>
    <t>MONTAJ_CABLES DESDE 25 MM2 DE SECCIÓN HASTA 50 MM2. INCLUYE EL DESMONTAJE DEL CABLEADO EN MAL ESTADO.</t>
  </si>
  <si>
    <t>MCBT81</t>
  </si>
  <si>
    <t>MONTAJ_CABLES DESDE 70 MM2 A 120MM2 DE SECCIÓN. INCLUYE EL DESMONTAJE DEL CABLEADO EN MAL ESTADO.</t>
  </si>
  <si>
    <t>MCBT82</t>
  </si>
  <si>
    <t>MONTAJ_CABLES MAYORES A 120MM2 DE SECCIÓN . INCLUYE EL DESMONTAJE DEL CABLEADO EN MAL ESTADO.</t>
  </si>
  <si>
    <t>MCBT83</t>
  </si>
  <si>
    <t>MONTAJ_CAJA Y BOTÓN DE PARADA DE EMERGENCIA (INCLUYE CONEXIONES Y HABILITACIÓN DEL INTERRUPTOR)</t>
  </si>
  <si>
    <t>MCBT84</t>
  </si>
  <si>
    <t>MONTAJ_CAJAS DE DERIVACIÓN DE PASE DE 10X10PULG EN ADELANTE</t>
  </si>
  <si>
    <t>MCBT85</t>
  </si>
  <si>
    <t>MONTAJ_CAJAS DE DERIVACIÓN DE PASE DE 6X6PUG HASTA 10X10PULG</t>
  </si>
  <si>
    <t>MCBT86</t>
  </si>
  <si>
    <t>MONTAJ_CAJAS DE DERIVACIÓN DE PASE HASTA 4X4PULG</t>
  </si>
  <si>
    <t>MCBT87</t>
  </si>
  <si>
    <t>MONTAJ_CANALETA DE PVC (HASTA 160 MM), COLOCADA EN CUADROS O EN SUPERFICIE (INCLUYE EL MONTAJ_LOS ACCESORIOS NECESARIOS COMO ÁNGULOS Y LOS MATERIALES CONSUMIBLES).</t>
  </si>
  <si>
    <t>MCBT88</t>
  </si>
  <si>
    <t>MONTAJ_CONDENSADOR PARA TABLERO DE BANCO DE CONDESADORES</t>
  </si>
  <si>
    <t>MCBT89</t>
  </si>
  <si>
    <t>MONTAJ_MANDIL DE PROTECCIÓN EN TABLERO ELÉCTRICO. (LA LÍNEA SOLO DEBERÁ USARSE CUANDO EL MANDIL HAYA SIDO FABRICADO POR EL PROVEEDOR).</t>
  </si>
  <si>
    <t>MCBT90</t>
  </si>
  <si>
    <t>MONTAJ_MAYOLICA O PORCELANATO</t>
  </si>
  <si>
    <t>M2</t>
  </si>
  <si>
    <t>MCBT91</t>
  </si>
  <si>
    <t>MONTAJ_OMEGAS (ACCESORIO QUE USAMOS PARA NIVELAR LOS INTERRUPTORES TERMOMAGNETICOS Y DIFERENCIALES AL MANDIL DEL TABLERO)</t>
  </si>
  <si>
    <t>MCBT92</t>
  </si>
  <si>
    <t>MONTAJ_RACK O BANDEJA (PARA SOSTENER ALGÚN EQUIPO O ELEMENTO. EJM: ESTABILIZADOR, TRANSFORMADOR,UPS).</t>
  </si>
  <si>
    <t>MCBT93</t>
  </si>
  <si>
    <t>MONTAJE DE RIEL DIN</t>
  </si>
  <si>
    <t>MCBT94</t>
  </si>
  <si>
    <t xml:space="preserve">MONTAJ_SENSOR DE PRESENCIA </t>
  </si>
  <si>
    <t>MCBT95</t>
  </si>
  <si>
    <t>MONTAJ_TAPA DE METAL PARA CAJA DE REGISTRO (POZO A TIERRA). INCLUYE TODOS AQUELLOS TRABAJOS NECESARIOS PARA REALIZAR LA TAREA Y LOS MATERIALES CONSUMIBLES.</t>
  </si>
  <si>
    <t>MCBT96</t>
  </si>
  <si>
    <t>MONTAJ_TRANSFORMADOR DE AISLAMIENTO  10KVA</t>
  </si>
  <si>
    <t>MCBT97</t>
  </si>
  <si>
    <t>MONTAJ_TRANSFORMADOR DE AISLAMIENTO  20KVA</t>
  </si>
  <si>
    <t>MCBT98</t>
  </si>
  <si>
    <t>MONTAJ_TRANSFORMADOR DE AISLAMIENTO  30KVA</t>
  </si>
  <si>
    <t>MCBT99</t>
  </si>
  <si>
    <t>MONTAJ_TRANSFORMADOR DE AISLAMIENTO  40KVA</t>
  </si>
  <si>
    <t>MCBT100</t>
  </si>
  <si>
    <t>MONTAJ_TUBERÍA CONDUIT (DESDE 1 1/2” HASTA 4"), INCLUYE TODO LOS ACCESORIOS EN SU RECORRIDO COMO ABRAZADERAS, RIEL UNISTRUD, CONECTORES, CURVAS, UNIONES, ETC</t>
  </si>
  <si>
    <t>MCBT101</t>
  </si>
  <si>
    <t>MONTAJ_TUBERÍA CONDUIT (DESDE 1 1/4” HASTA 2"), INCLUYE TODO LOS ACCESORIOS EN SU RECORRIDO COMO ABRAZADERAS, RIEL UNISTRUD, CONECTORES, CURVAS, UNIONES, ETC</t>
  </si>
  <si>
    <t>MCBT102</t>
  </si>
  <si>
    <t>MONTAJ_TUBERÍA CONDUIT (HASTA 1”), INCLUYE TODO LOS ACCESORIOS EN SU RECORRIDO COMO ABRAZADERAS, RIEL UNISTRUD, CONECTORES, CURVAS, UNIONES, ETC</t>
  </si>
  <si>
    <t>MCBT103</t>
  </si>
  <si>
    <t>MONTAJ_TUBERÍA DE PVC (DESDE 1 1/4” EN ADELANTE), INCLUYE TODO LOS ACCESORIOS EN SU RECORRIDO COMO ABRAZADERAS, RIEL UNISTRUD, CONECTORES, CURVAS, UNIONES, ETC</t>
  </si>
  <si>
    <t>MCBT104</t>
  </si>
  <si>
    <t>MONTAJ_TUBERÍA DE PVC (HASTA 1”), INCLUYE TODO LOS ACCESORIOS EN SU RECORRIDO COMO ABRAZADERAS, RIEL UNISTRUD, CONECTORES, CURVAS, UNIONES, ETC</t>
  </si>
  <si>
    <t>MCBT105</t>
  </si>
  <si>
    <t>MONTAJ_TUBERÍA LIQUID TIGHT (CONDUIT FLEXIBLE) DE 1 1/2 HASTA 3" INCLUYE TODO LOS ACCESORIOS EN SU RECORRIDO COMO ABRAZADERAS, RIEL UNISTRUD, CONECTORES, CURVAS, UNIONES, ETC</t>
  </si>
  <si>
    <t>MCBT106</t>
  </si>
  <si>
    <t>MONTAJ_TUBERÍA LIQUID TIGHT (CONDUIT FLEXIBLE) HASTA 1"  INCLUYE TODO LOS ACCESORIOS EN SU RECORRIDO COMO ABRAZADERAS, RIEL UNISTRUD, CONECTORES, CURVAS, UNIONES, ETC</t>
  </si>
  <si>
    <t>MCBT107</t>
  </si>
  <si>
    <t>MONTAJE E INSTALACIÓN ARRANCADOR SUAVE EN EQUIPO DE AA Y/O COMPRESOR DE AIRE.</t>
  </si>
  <si>
    <t>MCBT108</t>
  </si>
  <si>
    <t>MONTAJE E INSTALACIÓN DE MEDIDOR DE ENERGÍA. INCLUYE LA CONEXIÓN Y TRABAJOS PREVIOS NECESARIOS.</t>
  </si>
  <si>
    <t>MCBT109</t>
  </si>
  <si>
    <t>MONTAJE E INSTALACIÓN DE TRANSFORMADORES DE CORRIENTE PARA MEDIDORES DE ENERGIA (PACK DE TRES FASES)</t>
  </si>
  <si>
    <t>MCBT110</t>
  </si>
  <si>
    <t>MONTAJE Y CONEXIÓN DE PILOTO DE SEÑALIZACIÓN</t>
  </si>
  <si>
    <t>MCBT111</t>
  </si>
  <si>
    <t>MONTAJE Y CONFIGURACIÓN DE MÓDULO DE REGULACIÓN DE ETAPAS PARA TABLERO DE BANCO DE CONDESADORES</t>
  </si>
  <si>
    <t>MCBT112</t>
  </si>
  <si>
    <t>ORDENAMIENDO DE CABLES EN OFICINAS, ÁREA DE CAJA . (INCLUYE LOS MATERIALES CONSUMIBLES Y AQUELLOS NECESARIOS PARA LA ACTIVIDAD MENCIONADA, CINTILLOS, CINTA ESPIRAL, ETC).</t>
  </si>
  <si>
    <t>MCBT113</t>
  </si>
  <si>
    <t>PICADO, RESANE Y PINTADO DE PARED, PISO O TECHO PARA EL MONTAJE DE CAJAS O TABLEROS ELECTRICOS (INCLUYE LOS MATERIALES CONSUMIBLES).</t>
  </si>
  <si>
    <t>MCBT114</t>
  </si>
  <si>
    <t>PICADO, RESANE Y PINTADO DE PARED, PISO O TECHO PARA EL MONTAJE DE TUBERÍA DE HASTA 2" DE DIÁMETRO (INCLUYE LOS MATERIALES CONSUMIBLES).</t>
  </si>
  <si>
    <t>MCBT115</t>
  </si>
  <si>
    <t>PINTADO DE TABLERO (POR PRESENCIA DE OXIDO)</t>
  </si>
  <si>
    <t>MCBT116</t>
  </si>
  <si>
    <t>PORTA PLANOS PARA TABLEROS ELÉCTRICOS.</t>
  </si>
  <si>
    <t>MCBT117</t>
  </si>
  <si>
    <t xml:space="preserve">PROGRAMACIÓN DE HORARIO EN PLC </t>
  </si>
  <si>
    <t>MCBT118</t>
  </si>
  <si>
    <t>PROGRAMACIÓN DE HORARIO EN PLC O TIMER ANÁLOGICO PARA EL ENCENDIDO DE LUCES EN MARQUESINA Y/O OTROS.</t>
  </si>
  <si>
    <t>MCBT119</t>
  </si>
  <si>
    <t xml:space="preserve">PROGRAMACIÓN DE INTERRUPTOR HORARIO </t>
  </si>
  <si>
    <t>MCBT120</t>
  </si>
  <si>
    <t>RESANE DE LOZA DE CONCRETO  HASTA 0.2M DE PROFUNDIDAD(A TODO COSTO, INCLUYE EL CONCRETO NECESARIO RESISTENCIA 210KG/CM2).</t>
  </si>
  <si>
    <t>MCBT121</t>
  </si>
  <si>
    <t>RESANE DE PISTA ASFÁLTICA  CON CONCRETO Y OCRE NEGRO HASTA 0.2M (A TODO COSTO, INCLUYE EL ASFALTO).</t>
  </si>
  <si>
    <t>MCBT122</t>
  </si>
  <si>
    <t>RETIRO DE TABLERO ELÉCTRICO EXISTENTE, INCLUYE:
- RETIRO DE DISPOSITIVOS (AQUELLOS QUE SE PODRÁN REUTILIZAR, SERÁN ENTREGADOS AL ÁREA DE MTTO EN UNA CAJA INVENTARIADA).
- DESCONEXIÓN DE CIRCUITOS.
- RETIRO DE TABLERO (INCLUYE RETIRO DE CAJA, TAPA, PUERTA Y AQUELLOS TRABAJOS NECESARIOS PARA EJECUTAR LA TAREA).</t>
  </si>
  <si>
    <t>MCBT123</t>
  </si>
  <si>
    <t>RETIRO E INSTALACIÓN DE EQUIPO DE LUZ DE EMERGENCIA</t>
  </si>
  <si>
    <t>MCBT124</t>
  </si>
  <si>
    <t>RETIRO Y ELIMINACIÓN DE DESMONTE.</t>
  </si>
  <si>
    <t>MCBT125</t>
  </si>
  <si>
    <t>ROTULADO DE CIRCUITO ELÉCTRICO (INCLUYE SUMINSTRO DE LOS ROTULOS EN LOS CABLES POR CIRCUITO)</t>
  </si>
  <si>
    <t>MCBT126</t>
  </si>
  <si>
    <t>ROTURA DE LOZA DE CONCRETO HASTA 0.2 M DE PROFUNDIDAD (A TODO COSTO).</t>
  </si>
  <si>
    <t>MCBT127</t>
  </si>
  <si>
    <t>ROTURA DE PISTA ASFÁLTICA HASTA 0.2 M DE PROFUNDIDAD (A TODO COSTO).</t>
  </si>
  <si>
    <t>MCBT128</t>
  </si>
  <si>
    <t>SUSTITUCIÓN O MONTAJE DE PRENSAESTOPAS (DESDE 1” HASTA 1 1/4”), EN COFRET, CUADRO, CAJA DE DERIVACIÓN, ETC; INCLUYENDO LA CONEXIÓN DEL CABLE.</t>
  </si>
  <si>
    <t>MCBT129</t>
  </si>
  <si>
    <t>SUSTITUCIÓN O MONTAJE DE PRENSAESTOPAS (HASTA 3/4”), EN COFRET, CUADRO, CAJA DE DERIVACIÓN, ETC., INCLUYENDO LA CONEXIÓN DEL CABLE.</t>
  </si>
  <si>
    <t>MCBT130</t>
  </si>
  <si>
    <t>TRAT_ACEITE_TRANSFORM_SISTEMA_ TERMOVACIO HASTA 250 KVA</t>
  </si>
  <si>
    <t>MCBT131</t>
  </si>
  <si>
    <t>TRAT_ACEITE_TRANSFORM_SISTEMA_ TERMOVACIO HASTA 500 KVA</t>
  </si>
  <si>
    <t>MCBT132</t>
  </si>
  <si>
    <t>TRAT_ACEITE_TRANSFORM_SISTEMA_ TERMOVACIO HASTA 800 KVA</t>
  </si>
  <si>
    <t>MCBT133</t>
  </si>
  <si>
    <t>PLOTEO PLANOS EN A0</t>
  </si>
  <si>
    <t>MCBT134</t>
  </si>
  <si>
    <t>ABRAZADERA GALVANIZADA (ESTÁNDAR) - UNISTRUD - 1 1/2"</t>
  </si>
  <si>
    <t>MCBT135</t>
  </si>
  <si>
    <t>ABRAZADERA GALVANIZADA (ESTÁNDAR) - UNISTRUD - 1"</t>
  </si>
  <si>
    <t>MCBT136</t>
  </si>
  <si>
    <t>ABRAZADERA GALVANIZADA (ESTÁNDAR) - UNISTRUD - 2"</t>
  </si>
  <si>
    <t>MCBT137</t>
  </si>
  <si>
    <t>ABRAZADERA GALVANIZADA (ESTÁNDAR) - UNISTRUD - 3"</t>
  </si>
  <si>
    <t>MCBT138</t>
  </si>
  <si>
    <t>ABRAZADERA GALVANIZADA (ESTÁNDAR) - UNISTRUD - 3/4"</t>
  </si>
  <si>
    <t>MCBT139</t>
  </si>
  <si>
    <t>ABRAZADERA GALVANIZADA (PESADA) - 1"</t>
  </si>
  <si>
    <t>MCBT140</t>
  </si>
  <si>
    <t>ABRAZADERA GALVANIZADA (PESADA) - 1/2"</t>
  </si>
  <si>
    <t>MCBT141</t>
  </si>
  <si>
    <t>ABRAZADERA GALVANIZADA (PESADA) - 2"</t>
  </si>
  <si>
    <t>MCBT142</t>
  </si>
  <si>
    <t>ABRAZADERA GALVANIZADA (PESADA) - 3"</t>
  </si>
  <si>
    <t>MCBT143</t>
  </si>
  <si>
    <t>ABRAZADERA GALVANIZADA (PESADA) - 3/4"</t>
  </si>
  <si>
    <t>MCBT144</t>
  </si>
  <si>
    <t>ABRAZADERA GALVANIZADA (PESADA) - 4"</t>
  </si>
  <si>
    <t>MCBT145</t>
  </si>
  <si>
    <t>ANALIZADOR DE ENERGÍA,PM5330,  31 ARMÓNICO, MEMORIA INTERNA 256KB, IP65 + ACCESORIO, SERIAL</t>
  </si>
  <si>
    <t>ANALIZADOR DE REDES PARA PANEL 96X96MM PARA MONTAJE EN TABLERO CIRCUTOR CVM C10</t>
  </si>
  <si>
    <t>MCBT147</t>
  </si>
  <si>
    <t>ANGULO EXTERIOR DE 110 X 50 MM 10096RBR EFAPEL</t>
  </si>
  <si>
    <t>MCBT148</t>
  </si>
  <si>
    <t>ANGULO EXTERIOR DE 20 X 12.5 MM EFAPHEL</t>
  </si>
  <si>
    <t>MCBT149</t>
  </si>
  <si>
    <t>ANGULO EXTERIOR DE 50 X 20 MM LEGRAND DLP-S 638162</t>
  </si>
  <si>
    <t>MCBT150</t>
  </si>
  <si>
    <t>ANGULO INTERNO DE 110 X 50 MM 10092RBR EFAPEL</t>
  </si>
  <si>
    <t>MCBT151</t>
  </si>
  <si>
    <t>ANGULO INTERNO DE 20 X 12.5 MM EFAPHEL</t>
  </si>
  <si>
    <t>MCBT152</t>
  </si>
  <si>
    <t>ANGULO INTERNO DE 50 X 20 MM LEGRAND DLP-S 638161</t>
  </si>
  <si>
    <t>MCBT153</t>
  </si>
  <si>
    <t>ANGULO PLANO DE 110 X 50 MM 10093RBR EFAPEL</t>
  </si>
  <si>
    <t>MCBT154</t>
  </si>
  <si>
    <t>ANGULO PLANO DE 20 X 12.5 MM EFAPHEL</t>
  </si>
  <si>
    <t>MCBT155</t>
  </si>
  <si>
    <t>ANGULO PLANO DE 50 X 20 MM LEGRAND 638163</t>
  </si>
  <si>
    <t>MCBT156</t>
  </si>
  <si>
    <t>APLICACIÓN DE DOSIS DE THOR GEL</t>
  </si>
  <si>
    <t>MCBT157</t>
  </si>
  <si>
    <t>ARRANCADOR SUAVE - SCHNEIDER - ATS22D17S6 - ATS22-CONT. 220V-POTENC. DE 230V (4KW)/400…440V (7,5KW)/500V (9KW)</t>
  </si>
  <si>
    <t>MCBT158</t>
  </si>
  <si>
    <t>ARRANCADOR SUAVE - SCHNEIDER - ATS22D32Q - ATS22-CONTROL 220 V-POTENCIA 230 V (7,5 KW)/400…440 V (15 KW)</t>
  </si>
  <si>
    <t>MCBT159</t>
  </si>
  <si>
    <t>BARRA DE COBRE PARA PUESTA A TIERRA AL INTERIOR DEL TABLERO ELÉCTRICO PARA 10 PUNTOS</t>
  </si>
  <si>
    <t>MCBT160</t>
  </si>
  <si>
    <t>BARRA DE COBRE PARA PUESTA A TIERRA AL INTERIOR DEL TABLERO ELÉCTRICO PARA 20 PUNTOS</t>
  </si>
  <si>
    <t>MCBT161</t>
  </si>
  <si>
    <t>BARRA DE COBRE PARA PUESTA A TIERRA AL INTERIOR DEL TABLERO ELÉCTRICO PARA 5 PUNTOS</t>
  </si>
  <si>
    <t>MCBT162</t>
  </si>
  <si>
    <t>BASE PARA PLACA 110X50 10971ABR EFAPEL</t>
  </si>
  <si>
    <t>MCBT163</t>
  </si>
  <si>
    <t>BORNERA PORTAFUSIBLE 0.25 - 6.0 MM2 (P/ FUSIBLE 5 X 20)   _ LEGRAND _ 37181</t>
  </si>
  <si>
    <t>MCBT164</t>
  </si>
  <si>
    <t>BORNERA REGLETA NEGRO NYBLOC _ LEGRAND _ 34211 _ 4 MM2</t>
  </si>
  <si>
    <t>MCBT165</t>
  </si>
  <si>
    <t>BORNERA REGLETA NEGRO NYBLOC _ LEGRAND _ 34213 _ 6 MM2</t>
  </si>
  <si>
    <t>MCBT166</t>
  </si>
  <si>
    <t>BORNERA REGLETA NEGRO NYBLOC _ LEGRAND _ 34215 _ 10 MM2</t>
  </si>
  <si>
    <t>MCBT167</t>
  </si>
  <si>
    <t>BORNERA REGLETA NEGRO NYBLOC _ LEGRAND _ 34217 _ 16 MM2</t>
  </si>
  <si>
    <t>MCBT168</t>
  </si>
  <si>
    <t>BORNERA TOMA A TIERRA DE 16 MM2 (4.0 - 16 MM2) _ LEGRAND _ 37174</t>
  </si>
  <si>
    <t>MCBT169</t>
  </si>
  <si>
    <t>BORNERAS P/ RIEL DIN _ LEGRAND _ 16 MM2 (6 AWG)</t>
  </si>
  <si>
    <t>MCBT170</t>
  </si>
  <si>
    <t>BORNERAS P/ RIEL DIN _ LEGRAND _ 2.5 MM2 (14 AWG)</t>
  </si>
  <si>
    <t>MCBT171</t>
  </si>
  <si>
    <t>BORNERAS P/ RIEL DIN _ LEGRAND _ 4 MM2 (12 AWG)</t>
  </si>
  <si>
    <t>MCBT172</t>
  </si>
  <si>
    <t>BORNERAS P/ RIEL DIN _ LEGRAND _ 6 MM2 (10 AWG)</t>
  </si>
  <si>
    <t>MCBT173</t>
  </si>
  <si>
    <t>CABLE _ BELDEN _ UTP _ CATERGORÍA 5E</t>
  </si>
  <si>
    <t>M</t>
  </si>
  <si>
    <t>MCBT174</t>
  </si>
  <si>
    <t>CABLE APANTALLADO _ BELDEN _ 2X2X22AWG</t>
  </si>
  <si>
    <t>MCBT175</t>
  </si>
  <si>
    <t>CABLE DE COBRE DESNUDO SUAVE _ INDECO _ 16 MM2 (7 HILOS)</t>
  </si>
  <si>
    <t>MCBT176</t>
  </si>
  <si>
    <t>CABLE DE COBRE DESNUDO SUAVE _ INDECO _ 25 MM2 (7 HILOS)</t>
  </si>
  <si>
    <t>MCBT177</t>
  </si>
  <si>
    <t>CABLE ELECTRICO (LIBRE DE HALOGENO)  _ INDECO _ N2XOH80 _ 120 MM2 - 750 V</t>
  </si>
  <si>
    <t>CABLE ELECTRICO (LIBRE DE HALOGENO)  _ INDECO _ N2XOH80 _ 150 MM2 - 750 V</t>
  </si>
  <si>
    <t>MCBT179</t>
  </si>
  <si>
    <t>CABLE ELECTRICO (LIBRE DE HALOGENO)  _ INDECO _ N2XOH80 _ 185 MM2 - 750 V</t>
  </si>
  <si>
    <t>MCBT180</t>
  </si>
  <si>
    <t>CABLE ELECTRICO (LIBRE DE HALOGENO)  _ INDECO _ N2XOH80 _ 240 MM2 - 750 V</t>
  </si>
  <si>
    <t>MCBT181</t>
  </si>
  <si>
    <t>CABLE ELECTRICO (LIBRE DE HALOGENO)  _ INDECO _ NH80 _ 10 MM2 - 750 V</t>
  </si>
  <si>
    <t>MCBT182</t>
  </si>
  <si>
    <t>CABLE ELECTRICO (LIBRE DE HALOGENO)  _ INDECO _ NH80 _ 70 MM2 - 750 V</t>
  </si>
  <si>
    <t>MCBT183</t>
  </si>
  <si>
    <t>CABLE ELECTRICO (LIBRE DE HALOGENO)  _ INDECO _ NH80 _ 95 MM2 - 750 V</t>
  </si>
  <si>
    <t>MCBT184</t>
  </si>
  <si>
    <t>CABLE ELECTRICO (LIBRE DE HALOGENO) _ INDECO _ NH80 _ 1.5 MM2 - 750 V</t>
  </si>
  <si>
    <t>MCBT185</t>
  </si>
  <si>
    <t>CABLE ELECTRICO (LIBRE DE HALOGENO) _ INDECO _ NH80 _ 16 MM2 - 750 V</t>
  </si>
  <si>
    <t>MCBT186</t>
  </si>
  <si>
    <t>CABLE ELECTRICO (LIBRE DE HALOGENO) _ INDECO _ NH80 _ 2.5 MM2 - 750 V</t>
  </si>
  <si>
    <t>MCBT187</t>
  </si>
  <si>
    <t>CABLE ELECTRICO (LIBRE DE HALOGENO) _ INDECO _ NH80 _ 25 MM2 - 750 V</t>
  </si>
  <si>
    <t>MCBT188</t>
  </si>
  <si>
    <t>CABLE ELECTRICO (LIBRE DE HALOGENO) _ INDECO _ NH80 _ 35 MM2 - 750 V</t>
  </si>
  <si>
    <t>MCBT189</t>
  </si>
  <si>
    <t>CABLE ELECTRICO (LIBRE DE HALOGENO) _ INDECO _ NH80 _ 4 MM2 - 750 V</t>
  </si>
  <si>
    <t>MCBT190</t>
  </si>
  <si>
    <t>CABLE ELECTRICO (LIBRE DE HALOGENO) _ INDECO _ NH80 _ 50 MM2 - 750 V</t>
  </si>
  <si>
    <t>MCBT191</t>
  </si>
  <si>
    <t>CABLE ELECTRICO (LIBRE DE HALOGENO) _ INDECO _ NH80 _ 6 MM2 - 750 V</t>
  </si>
  <si>
    <t>MCBT192</t>
  </si>
  <si>
    <t>CABLE ELECTRICO (LIBRE DE HALOGENO) _ INDECO _ NH80 _ 6MM2 - 750 V</t>
  </si>
  <si>
    <t>MCBT193</t>
  </si>
  <si>
    <t>CABLE ELECTRICO _ ELCOPE _ CPT _ 10 MM2 (8 AWG) - (AMARILLO/VERDE)</t>
  </si>
  <si>
    <t>MCBT194</t>
  </si>
  <si>
    <t>CABLE ELECTRICO _ ELCOPE _ CPT _ 120 MM2 (2 AWG) - (AMARILLO/VERDE)</t>
  </si>
  <si>
    <t>MCBT195</t>
  </si>
  <si>
    <t>CABLE ELECTRICO _ ELCOPE _ CPT _ 16 MM2  (6 AWG) - (AMARILLO/VERDE)</t>
  </si>
  <si>
    <t>MCBT196</t>
  </si>
  <si>
    <t>CABLE ELECTRICO _ ELCOPE _ CPT _ 2.5 MM2 ( 14 AWG) - (AMARILLO/VERDE)</t>
  </si>
  <si>
    <t>MCBT197</t>
  </si>
  <si>
    <t>CABLE ELECTRICO _ ELCOPE _ CPT _ 25 MM2 (4 AWG) - (AMARILLO/VERDE)</t>
  </si>
  <si>
    <t>MCBT198</t>
  </si>
  <si>
    <t>CABLE ELECTRICO _ ELCOPE _ CPT _ 35 MM2 (2 AWG) - (AMARILLO/VERDE)</t>
  </si>
  <si>
    <t>MCBT199</t>
  </si>
  <si>
    <t>CABLE ELECTRICO _ ELCOPE _ CPT _ 4 MM2 ( 12 AWG) - (AMARILLO/VERDE)</t>
  </si>
  <si>
    <t>MCBT200</t>
  </si>
  <si>
    <t>CABLE ELECTRICO _ ELCOPE _ CPT _ 6 MM2 (10 AWG) - (AMARILLO/VERDE)</t>
  </si>
  <si>
    <t>MCBT201</t>
  </si>
  <si>
    <t>CABLE ELECTRICO _ ELCOPE _ CPT _ 70 MM2 (2 AWG) - (AMARILLO/VERDE)</t>
  </si>
  <si>
    <t>MCBT202</t>
  </si>
  <si>
    <t>CABLE ELECTRICO _ ELCOPE _ CPT _ 95 MM2 (2 AWG) - (AMARILLO/VERDE)</t>
  </si>
  <si>
    <t>MCBT203</t>
  </si>
  <si>
    <t>CABLE N2XSY 1X120MM2 18/30KV</t>
  </si>
  <si>
    <t>MCBT204</t>
  </si>
  <si>
    <t>CABLE N2XSY 1X50MM2 18/30KV</t>
  </si>
  <si>
    <t>MCBT205</t>
  </si>
  <si>
    <t>CABLE N2XSY 1X70MM2 18/30KV</t>
  </si>
  <si>
    <t>MCBT206</t>
  </si>
  <si>
    <t>CABLE N2XSY 1X95MM2 18/30KV</t>
  </si>
  <si>
    <t>MCBT207</t>
  </si>
  <si>
    <t>CABLE VULCANIZADO (FREETOX) _ INDECO _ NH _ 3X2.5 MM2</t>
  </si>
  <si>
    <t>MCBT208</t>
  </si>
  <si>
    <t>CABLE VULCANIZADO (FREETOX) _ INDECO _ NH _ 3X4 MM2</t>
  </si>
  <si>
    <t>MCBT209</t>
  </si>
  <si>
    <t>CABLE VULCANIZADO NH 7G, (7X2.5 MM2)</t>
  </si>
  <si>
    <t>MCBT210</t>
  </si>
  <si>
    <t>CAJA CONDUIT RECTANGULAR RR(C) 1 1/2´ DE 4 SALIDAS C/ OREJAS - S/ TAPA RR-0471-M _ RAWELT</t>
  </si>
  <si>
    <t>MCBT211</t>
  </si>
  <si>
    <t>CAJA CONDUIT RECTANGULAR RR(C) 1/2 DE 4 SALIDAS C/ OREJAS - S/ TAPA RR-0471-M _ RAWELT</t>
  </si>
  <si>
    <t>MCBT212</t>
  </si>
  <si>
    <t>CAJA CONDUIT RECTANGULAR RR(C) 1´ DE 4 SALIDAS C/ OREJAS - S/ TAPA RR-0471-M _ RAWELT</t>
  </si>
  <si>
    <t>MCBT213</t>
  </si>
  <si>
    <t>CAJA CONDUIT RECTANGULAR RR(C) 3/4 DE 4 SALIDAS C/ OREJAS - S/ TAPA RR-0471-M _ RAWELT</t>
  </si>
  <si>
    <t>MCBT214</t>
  </si>
  <si>
    <t>CAJA DE DERIVACIÓN (ADOSABLE) _ TICINO _CAJA DE PASE PVC DE 108 X 108 X 64 MM, PARA TOMACORRIENTE O INTERRUPTOR</t>
  </si>
  <si>
    <t>MCBT215</t>
  </si>
  <si>
    <t>CAJA DE DERIVACIÓN (ADOSABLE) _10"X 10" - METALICA</t>
  </si>
  <si>
    <t>MCBT216</t>
  </si>
  <si>
    <t>CAJA DE DERIVACIÓN (ADOSABLE) _10"X 10" DE PVC</t>
  </si>
  <si>
    <t>MCBT217</t>
  </si>
  <si>
    <t>CAJA DE DERIVACIÓN (ADOSABLE) _4"X 2" DE PVC</t>
  </si>
  <si>
    <t>MCBT218</t>
  </si>
  <si>
    <t>CAJA DE DERIVACIÓN (ADOSABLE) _4"X 4" - METALICA</t>
  </si>
  <si>
    <t>MCBT219</t>
  </si>
  <si>
    <t>CAJA DE DERIVACIÓN (ADOSABLE) _4"X 4" DE PVC</t>
  </si>
  <si>
    <t>MCBT220</t>
  </si>
  <si>
    <t>CAJA DE DERIVACIÓN (ADOSABLE) _6"X 6" - METALICA</t>
  </si>
  <si>
    <t>MCBT221</t>
  </si>
  <si>
    <t>CAJA DE DERIVACIÓN (ADOSABLE) _6"X 6" DE PVC</t>
  </si>
  <si>
    <t>MCBT222</t>
  </si>
  <si>
    <t>CAJA DE DERIVACIÓN (ADOSABLE) _8"X 8" - METALICA</t>
  </si>
  <si>
    <t>MCBT223</t>
  </si>
  <si>
    <t>CAJA DE DERIVACIÓN (ADOSABLE) _8"X 8" DE PVC</t>
  </si>
  <si>
    <t>MCBT224</t>
  </si>
  <si>
    <t>CAJA DE DERIVACIÓN (EMPOTRABLE) _ 6"X 6"X 4" (15 X 15 X 10 CM) 1/20 - METALICA</t>
  </si>
  <si>
    <t>MCBT225</t>
  </si>
  <si>
    <t>CAJA DE REGISTRO DE CONCRETO (CON TAPA) PARA POZO A TIERRA</t>
  </si>
  <si>
    <t>MCBT226</t>
  </si>
  <si>
    <t>CAJA HIDROBOX KID COMPLETO 2 DADOS INTERRUPTORE MÁS DADO CIEGO</t>
  </si>
  <si>
    <t>MCBT227</t>
  </si>
  <si>
    <t>CAJA HIDROBOX KID COMPLETO 2 DADOS TOMACORRIENTES CON PUESTA A TIERRA MÁS DADO CIEGO</t>
  </si>
  <si>
    <t>MCBT228</t>
  </si>
  <si>
    <t>CANALETA DE 110 X 50MM X 2MTS EFAPEL</t>
  </si>
  <si>
    <t>MCBT229</t>
  </si>
  <si>
    <t>CANALETA DE 20 X 12.5 MM EFAPHEL</t>
  </si>
  <si>
    <t>MCBT230</t>
  </si>
  <si>
    <t>CANALETA DE 50 X 20 MM 2 COMP LEGRAND DLP-S 638168</t>
  </si>
  <si>
    <t>MCBT231</t>
  </si>
  <si>
    <t>CANALETA INDUSTRIAL _ LEGRAND _ 36200 _ 25 X 25 MM - LINA 25 RANURADA</t>
  </si>
  <si>
    <t>MCBT232</t>
  </si>
  <si>
    <t>CANALETA INDUSTRIAL _ LEGRAND _ 36201 _ 25 X 40 MM - LINA 25 RANURADA</t>
  </si>
  <si>
    <t>MCBT233</t>
  </si>
  <si>
    <t>CANALETA INDUSTRIAL _ LEGRAND _ 36202 _ 25 X 60 MM - LINA 25 RANURADA</t>
  </si>
  <si>
    <t>MCBT234</t>
  </si>
  <si>
    <t>CANALETA INDUSTRIAL _ LEGRAND _ 36205 _ 40 X 25 MM - LINA 25 RANURADA</t>
  </si>
  <si>
    <t>MCBT235</t>
  </si>
  <si>
    <t>CANALETA INDUSTRIAL _ LEGRAND _ 36213 _ 60 X 80 MM - LINA 25 RANURADA</t>
  </si>
  <si>
    <t>MCBT236</t>
  </si>
  <si>
    <t>CANALETA INDUSTRIAL _ LEGRAND _ 36216 _ 80 X 60 MM - LINA 25 RANURADA</t>
  </si>
  <si>
    <t>MCBT237</t>
  </si>
  <si>
    <t>CHAPAS TIPO LENGÜETA PARA TABLERO ELÉCTRICO</t>
  </si>
  <si>
    <t>MCBT238</t>
  </si>
  <si>
    <t>CHAPAS TIPO MANIJA PARA TABLERO ELÉCTRICO</t>
  </si>
  <si>
    <t>MCBT239</t>
  </si>
  <si>
    <t>CHAPAS TIPO PLUSH PARA TABLERO ELÉCTRICO</t>
  </si>
  <si>
    <t>MCBT240</t>
  </si>
  <si>
    <t>COMPUTER SMART III 6, REGULADOR ENERGÍA REACTIVA TRIFÁSICO. REGULACIÓN, MEDIDA, CONTROL DE FUGAS Y COMUNICACIONES - CIRCUTOR-R13851</t>
  </si>
  <si>
    <t>MCBT241</t>
  </si>
  <si>
    <t>CONDENSADORES TUBULARES TRIFÁSICOS (SERIE ULTRA HEAVY DUTY) 12KVAR - CIRCUTOR-R2HM26</t>
  </si>
  <si>
    <t>MCBT242</t>
  </si>
  <si>
    <t>CONDESADOR TRIFÁSICO DE POTENCIA VARPLUS 25 KVAR</t>
  </si>
  <si>
    <t>CONECTOR _ 1 1/2" EMT</t>
  </si>
  <si>
    <t>MCBT244</t>
  </si>
  <si>
    <t>CONECTOR _ 1" EMT</t>
  </si>
  <si>
    <t>MCBT245</t>
  </si>
  <si>
    <t>CONECTOR _ 2" EMT</t>
  </si>
  <si>
    <t>MCBT246</t>
  </si>
  <si>
    <t>CONECTOR _ 3" EMT</t>
  </si>
  <si>
    <t>MCBT247</t>
  </si>
  <si>
    <t>CONECTOR _ 4" EMT</t>
  </si>
  <si>
    <t>MCBT248</t>
  </si>
  <si>
    <t>CONECTOR A CAJA DE PVC (LUZ) SAP _ 1 1/2"</t>
  </si>
  <si>
    <t>MCBT249</t>
  </si>
  <si>
    <t>CONECTOR A CAJA DE PVC (LUZ) SAP _ 1"</t>
  </si>
  <si>
    <t>MCBT250</t>
  </si>
  <si>
    <t>CONECTOR A CAJA DE PVC (LUZ) SAP _ 1/2"</t>
  </si>
  <si>
    <t>MCBT251</t>
  </si>
  <si>
    <t>CONECTOR A CAJA DE PVC (LUZ) SAP _ 2"</t>
  </si>
  <si>
    <t>MCBT252</t>
  </si>
  <si>
    <t>CONECTOR A CAJA DE PVC (LUZ) SAP _ 3/4"</t>
  </si>
  <si>
    <t>MCBT253</t>
  </si>
  <si>
    <t>CONECTOR A CAJA DE PVC (LUZ) SAP _ 4"</t>
  </si>
  <si>
    <t>MCBT254</t>
  </si>
  <si>
    <t>CONECTOR CURVO (LIQUID TIGHT) _ 1 1/2"</t>
  </si>
  <si>
    <t>MCBT255</t>
  </si>
  <si>
    <t>CONECTOR CURVO (LIQUID TIGHT) _ 1"</t>
  </si>
  <si>
    <t>MCBT256</t>
  </si>
  <si>
    <t>CONECTOR CURVO (LIQUID TIGHT) _ 2"</t>
  </si>
  <si>
    <t>MCBT257</t>
  </si>
  <si>
    <t>CONECTOR CURVO (LIQUID TIGHT) _ 3/4"</t>
  </si>
  <si>
    <t>MCBT258</t>
  </si>
  <si>
    <t>CONECTOR DE BRONCE AB (PARA VARILLA) _ 3/4"</t>
  </si>
  <si>
    <t>MCBT259</t>
  </si>
  <si>
    <t>CONECTOR DE BRONCE AB (PARA VARILLA) _ 5/8"</t>
  </si>
  <si>
    <t>MCBT260</t>
  </si>
  <si>
    <t>CONECTOR RECTO (HERMETICO CONDUIT) _ 1 1/2"</t>
  </si>
  <si>
    <t>MCBT261</t>
  </si>
  <si>
    <t>CONECTOR RECTO (HERMETICO CONDUIT) _ 1"</t>
  </si>
  <si>
    <t>MCBT262</t>
  </si>
  <si>
    <t>CONECTOR RECTO (HERMETICO CONDUIT) _ 2"</t>
  </si>
  <si>
    <t>MCBT263</t>
  </si>
  <si>
    <t>CONECTOR RECTO (HERMETICO CONDUIT) _ 3/4"</t>
  </si>
  <si>
    <t>MCBT264</t>
  </si>
  <si>
    <t>CONMUTADOR MANUAL TRIFASICO DE 160 A _ BREMAS (CON ACCESORIOS COMPLETOS INTERNOS Y EXTERNOS)</t>
  </si>
  <si>
    <t>MCBT265</t>
  </si>
  <si>
    <t>CONMUTADOR ROTATIVO _ BREMAS _ (1 - 0 - 2) DE 32 A</t>
  </si>
  <si>
    <t>MCBT266</t>
  </si>
  <si>
    <t>CONMUTADOR ROTATIVO _ BREMAS _ (1 - 0 - 2) DE 50 A</t>
  </si>
  <si>
    <t>MCBT267</t>
  </si>
  <si>
    <t>CONTACTOR - TESYS D - SCHENEIDER - 220V - 25A - 3P (2NO/1NC) - AC3</t>
  </si>
  <si>
    <t>MCBT268</t>
  </si>
  <si>
    <t>CONTACTOR - TESYS D - SCHNEIDER - 220V - 18A - 3P(3 NO) - AC-3</t>
  </si>
  <si>
    <t>MCBT269</t>
  </si>
  <si>
    <t>CONTACTOR - TESYS GC - SCHNEIDER - 25 A - 2 NO + 2 NC - 220...240 VAC</t>
  </si>
  <si>
    <t>MCBT270</t>
  </si>
  <si>
    <t>CONTACTOR _ SCHENEIDER _ 220V _ 32A 3P / AC3</t>
  </si>
  <si>
    <t>MCBT271</t>
  </si>
  <si>
    <t>CONTACTOR _ SCHENEIDER _ 220V _ 40A 3P / AC3</t>
  </si>
  <si>
    <t>MCBT272</t>
  </si>
  <si>
    <t>CONTACTOR _ SCHENEIDER _ 220V _ 50A 3P / AC3</t>
  </si>
  <si>
    <t>MCBT273</t>
  </si>
  <si>
    <t>CONTACTOR _ SCHENEIDER _ 220V _ 65A 3P / AC3</t>
  </si>
  <si>
    <t>MCBT274</t>
  </si>
  <si>
    <t>CONTACTOR _ SCHENEIDER _ 220V _ 9A 3P / AC3</t>
  </si>
  <si>
    <t>MCBT275</t>
  </si>
  <si>
    <t>CONTACTOR BIPOLAR_ SCHNEIDER _ 220V _ 25 A</t>
  </si>
  <si>
    <t>MCBT276</t>
  </si>
  <si>
    <t>CONTACTOR DE POTENCIA, 3 AC 50 A CIRCUTOR - CMC-150B</t>
  </si>
  <si>
    <t>MCBT277</t>
  </si>
  <si>
    <t>CONTACTOR PARA CONDESADOR 15/25/36KVAR 220/440/690  LC1DTKM7 - SCHNEIDER ELECTRIC</t>
  </si>
  <si>
    <t>MCBT278</t>
  </si>
  <si>
    <t>CONTACTOR TRIPOLAR_ SCHNEIDER _ 220V _ 115A /AC3</t>
  </si>
  <si>
    <t>MCBT279</t>
  </si>
  <si>
    <t>CONTACTOR TRIPOLAR_ SCHNEIDER _ 220V _ 150A /AC3</t>
  </si>
  <si>
    <t>MCBT280</t>
  </si>
  <si>
    <t>CONTACTOR TRIPOLAR_ SCHNEIDER _ 220V _ 250A/ AC4</t>
  </si>
  <si>
    <t>MCBT281</t>
  </si>
  <si>
    <t>CURVA  _ 1 1/2" EMT</t>
  </si>
  <si>
    <t>MCBT282</t>
  </si>
  <si>
    <t>CURVA  _ 2" EMT</t>
  </si>
  <si>
    <t>MCBT283</t>
  </si>
  <si>
    <t>CURVA  _ 3" EMT</t>
  </si>
  <si>
    <t>MCBT284</t>
  </si>
  <si>
    <t>CURVA  _ 4" EMT</t>
  </si>
  <si>
    <t>MCBT285</t>
  </si>
  <si>
    <t>CURVA _ 1" EMT</t>
  </si>
  <si>
    <t>MCBT286</t>
  </si>
  <si>
    <t>CURVA _ 3/4" EMT</t>
  </si>
  <si>
    <t>MCBT287</t>
  </si>
  <si>
    <t>CURVA DE PVC (LUZ) SAP _ 1 1/2"</t>
  </si>
  <si>
    <t>MCBT288</t>
  </si>
  <si>
    <t>CURVA DE PVC (LUZ) SAP _ 1"</t>
  </si>
  <si>
    <t>MCBT289</t>
  </si>
  <si>
    <t>CURVA DE PVC (LUZ) SAP _ 2"</t>
  </si>
  <si>
    <t>MCBT290</t>
  </si>
  <si>
    <t>CURVA DE PVC (LUZ) SAP _ 3"</t>
  </si>
  <si>
    <t>MCBT291</t>
  </si>
  <si>
    <t>CURVA DE PVC (LUZ) SAP _ 3/4"</t>
  </si>
  <si>
    <t>MCBT292</t>
  </si>
  <si>
    <t>CURVA DE PVC (LUZ) SAP _ 4"</t>
  </si>
  <si>
    <t>MCBT293</t>
  </si>
  <si>
    <t>DADO CIEGO _ TICINO _ 5000/9</t>
  </si>
  <si>
    <t>MCBT294</t>
  </si>
  <si>
    <t>DADO INTERRUPTOR _ TICINO _ 5001 _ 16A - 250 VAC</t>
  </si>
  <si>
    <t>MCBT295</t>
  </si>
  <si>
    <t>DADO INTERRUPTOR BIPOLAR _ TICINO _ 5011 _ 16 A - 250 VAC</t>
  </si>
  <si>
    <t>MCBT296</t>
  </si>
  <si>
    <t>DADO INTERRUPTOR DE 3 VIAS   _ TICINO _ 5003 _ 16 A - 250 VAC</t>
  </si>
  <si>
    <t>MCBT297</t>
  </si>
  <si>
    <t>DADO PULSADOR UNIPORLAR _ TICINO _ 5005 _ 10 A - 250 V</t>
  </si>
  <si>
    <t>MCBT298</t>
  </si>
  <si>
    <t>DADO TOMACORRIENTE AMERICANO 2P+T _ TICINO _ 5028 _ 15 A - 220 V</t>
  </si>
  <si>
    <t>MCBT299</t>
  </si>
  <si>
    <t>DADO TOMACORRIENTE UNIVERSAL _ TICINO _ 5025 _ 16 A - 250 V - (4 - 8) MM</t>
  </si>
  <si>
    <t>MCBT300</t>
  </si>
  <si>
    <t>DETECTOR DE HUMO ALAMBRICO</t>
  </si>
  <si>
    <t>MCBT301</t>
  </si>
  <si>
    <t>DETECTOR DE PRESENCIA HUMANA INTELIGENTE PIR OPALUX 16A</t>
  </si>
  <si>
    <t>MCBT302</t>
  </si>
  <si>
    <t>DOSIS QUÍMICA PARA PUESTA A TIERRA THORGEL (5 KGS)</t>
  </si>
  <si>
    <t>MCBT303</t>
  </si>
  <si>
    <t>ENCHUFE 16 A (2P+T) - 250 V (AZUL) 6H _ MENNEKES _ 278 _ IP67</t>
  </si>
  <si>
    <t>MCBT304</t>
  </si>
  <si>
    <t>ENCHUFE 16 A (3P+T) - 250 V (AZUL) 6H _ MENNEKES _ 278 _ IP67</t>
  </si>
  <si>
    <t>MCBT305</t>
  </si>
  <si>
    <t>ENCHUFE 16 A (3P+T+N) - 250 V (AZUL) 6H _ MENNEKES _ 278 _ IP67</t>
  </si>
  <si>
    <t>MCBT306</t>
  </si>
  <si>
    <t>ENCHUFE 2X15 A (AMARILLO) _ LEVINTON</t>
  </si>
  <si>
    <t>MCBT307</t>
  </si>
  <si>
    <t>ENCHUFE 32 A (2P+T) - 250 V (AZUL) 6H  _ MENNEKES _ 260 _ IP44</t>
  </si>
  <si>
    <t>MCBT308</t>
  </si>
  <si>
    <t>ENCHUFE 32 A (3P+T) - 250 V (AZUL) 6H  _ MENNEKES _ 260 _ IP44</t>
  </si>
  <si>
    <t>MCBT309</t>
  </si>
  <si>
    <t>ENCHUFE 32 A (3P+T+N) - 250 V (AZUL) 6H  _ MENNEKES _ 260 _ IP44</t>
  </si>
  <si>
    <t>MCBT310</t>
  </si>
  <si>
    <t>ENCHUFE 63 A (2P+T) - 250 V (AZUL) 6H  _ MENNEKES _ 260 _ IP45</t>
  </si>
  <si>
    <t>MCBT311</t>
  </si>
  <si>
    <t>ENCHUFE 63 A (3P+T) - 250 V (AZUL) 6H  _ MENNEKES _ 260 _ IP45</t>
  </si>
  <si>
    <t>MCBT312</t>
  </si>
  <si>
    <t>ENCHUFE 63 A (3P+T+N) - 250 V (AZUL) 6H  _ MENNEKES _ 260 _ IP45</t>
  </si>
  <si>
    <t>MCBT313</t>
  </si>
  <si>
    <t>EQUIPO HERMETICO  LINEAL 2X18WATTS LEDVANCE</t>
  </si>
  <si>
    <t>MCBT314</t>
  </si>
  <si>
    <t>EQUIPO HERMETICO  LINEAL 2X36WATTS LEDVANCE</t>
  </si>
  <si>
    <t>MCBT315</t>
  </si>
  <si>
    <t>ESPIRAL PORTACABLE KS 10 (10 MTS) X (11.4-7.5MM)MAX. 10.CCKS</t>
  </si>
  <si>
    <t>MCBT316</t>
  </si>
  <si>
    <t>ESTABILIZADOR (MONOFÁSICO) _ ELISE IEDA PODER LCR-30 _ SOLIDO _ 3.0 KVA, 220V, 6 CONECTORES DE SALIDA</t>
  </si>
  <si>
    <t>MCBT317</t>
  </si>
  <si>
    <t>ESTABILIZADOR FERRORESONANTE 220V - 10KVA</t>
  </si>
  <si>
    <t>MCBT318</t>
  </si>
  <si>
    <t>ESTABILIZADOR FERRORESONANTE 220V - 20KVA</t>
  </si>
  <si>
    <t>MCBT319</t>
  </si>
  <si>
    <t>ESTABILIZADOR  FERRORESONANTE  (MONOFÁSICO) _ 10 KVA</t>
  </si>
  <si>
    <t>MCBT320</t>
  </si>
  <si>
    <t>ESTABILIZADOR  FERRORESONANTE  (MONOFÁSICO) _ 6.0 KVA</t>
  </si>
  <si>
    <t>MCBT321</t>
  </si>
  <si>
    <t xml:space="preserve">FUSIBLE DE VIDRIO (1 A) </t>
  </si>
  <si>
    <t>MCBT322</t>
  </si>
  <si>
    <t xml:space="preserve">FUSIBLE DE VIDRIO (2 A) </t>
  </si>
  <si>
    <t>MCBT323</t>
  </si>
  <si>
    <t xml:space="preserve">FUSIBLE DE VIDRIO (3 A) </t>
  </si>
  <si>
    <t>MCBT324</t>
  </si>
  <si>
    <t xml:space="preserve">FUSIBLE DE VIDRIO (5 A) </t>
  </si>
  <si>
    <t>MCBT325</t>
  </si>
  <si>
    <t>INTERRUPTOR  TERMOMAGNÉTICO (PARA RIEL DIN) _ SCHENEIDER1X20A  / 5KA/230VAC - A9K24120 IK60N</t>
  </si>
  <si>
    <t>MCBT326</t>
  </si>
  <si>
    <t>INTERRUPTOR 3 VÍAS (MAGIC) _ TICINO _ 5003 _ 16 A - 250 V</t>
  </si>
  <si>
    <t>MCBT327</t>
  </si>
  <si>
    <t xml:space="preserve">INTERRUPTOR AUTOMÁTICO COMPACT 3P NSX630N MICROLOGIC 1.3 M 500 A </t>
  </si>
  <si>
    <t>MCBT328</t>
  </si>
  <si>
    <t>INTERRUPTOR DIFERENCIAL (PARA RIEL DIN) _ SCHENEIDER _ 30 MA - 2X25 A-  IID-A -A9R51225</t>
  </si>
  <si>
    <t>MCBT329</t>
  </si>
  <si>
    <t>INTERRUPTOR DIFERENCIAL (PARA RIEL DIN) _ SCHENEIDER _ 30 MA - 2X25 A-  IID-AC -A9R71225</t>
  </si>
  <si>
    <t>MCBT330</t>
  </si>
  <si>
    <t>INTERRUPTOR DIFERENCIAL (PARA RIEL DIN) _ SCHENEIDER _ 30 MA - 2X25 A-  IIDSI-A9R91225</t>
  </si>
  <si>
    <t>MCBT331</t>
  </si>
  <si>
    <t>INTERRUPTOR DIFERENCIAL (PARA RIEL DIN) _ SCHENEIDER _ 30 MA - 2X25 A- IIDK - A9R50225</t>
  </si>
  <si>
    <t>MCBT332</t>
  </si>
  <si>
    <t>INTERRUPTOR DIFERENCIAL (PARA RIEL DIN) _ SCHENEIDER _ 30 MA - 2X40 A-  IID-A-A9R51240</t>
  </si>
  <si>
    <t>MCBT333</t>
  </si>
  <si>
    <t>INTERRUPTOR DIFERENCIAL (PARA RIEL DIN) _ SCHENEIDER _ 30 MA - 2X40 A-  IID-AC -A9R71240</t>
  </si>
  <si>
    <t>MCBT334</t>
  </si>
  <si>
    <t>INTERRUPTOR DIFERENCIAL (PARA RIEL DIN) _ SCHENEIDER _ 30 MA - 2X40 A-  IIDK - A9R50240</t>
  </si>
  <si>
    <t>MCBT335</t>
  </si>
  <si>
    <t>INTERRUPTOR DIFERENCIAL (PARA RIEL DIN) _ SCHENEIDER _ 30 MA - 2X40 A-  IIDSI-A9R91240-SUPERINMUNIZADO</t>
  </si>
  <si>
    <t>MCBT336</t>
  </si>
  <si>
    <t>INTERRUPTOR DIFERENCIAL (PARA RIEL DIN) _ SCHENEIDER _ 30 MA - 2X63 A-  IID-A -A9R51263</t>
  </si>
  <si>
    <t>MCBT337</t>
  </si>
  <si>
    <t>INTERRUPTOR DIFERENCIAL (PARA RIEL DIN) _ SCHENEIDER _ 30 MA - 2X63 A-  IID-AC -A9R71263</t>
  </si>
  <si>
    <t>MCBT338</t>
  </si>
  <si>
    <t>INTERRUPTOR DIFERENCIAL (PARA RIEL DIN) _ SCHENEIDER _ 30 MA - 2X63 A-  IIDSI-A9R91263-SUPERINMUNIZADO</t>
  </si>
  <si>
    <t>MCBT339</t>
  </si>
  <si>
    <t>INTERRUPTOR DIFERENCIAL (PARA RIEL DIN) _ SCHENEIDER _ 30 MA - 4X25 A-  IID-A -A9R51425</t>
  </si>
  <si>
    <t>MCBT340</t>
  </si>
  <si>
    <t>INTERRUPTOR DIFERENCIAL (PARA RIEL DIN) _ SCHENEIDER _ 30 MA - 4X25 A-  IID-AC -A9R71425</t>
  </si>
  <si>
    <t>MCBT341</t>
  </si>
  <si>
    <t>INTERRUPTOR DIFERENCIAL (PARA RIEL DIN) _ SCHENEIDER _ 30 MA - 4X25 A-  IIDSI-A9R91425-SUPERINMUNIZADO</t>
  </si>
  <si>
    <t>MCBT342</t>
  </si>
  <si>
    <t>INTERRUPTOR DIFERENCIAL (PARA RIEL DIN) _ SCHENEIDER _ 30 MA - 4X40 A-  IID-A -A9R51440</t>
  </si>
  <si>
    <t>MCBT343</t>
  </si>
  <si>
    <t>INTERRUPTOR DIFERENCIAL (PARA RIEL DIN) _ SCHENEIDER _ 30 MA - 4X40 A-  IID-AC -A9R71440</t>
  </si>
  <si>
    <t>MCBT344</t>
  </si>
  <si>
    <t>INTERRUPTOR DIFERENCIAL (PARA RIEL DIN) _ SCHENEIDER _ 30 MA - 4X40 A-  IIDSI-A9R91440-SUPERINMUNIZADO</t>
  </si>
  <si>
    <t>MCBT345</t>
  </si>
  <si>
    <t>INTERRUPTOR DIFERENCIAL (PARA RIEL DIN) _ SCHENEIDER _ 30 MA - 4X63 A-  IID-A -A9R51463</t>
  </si>
  <si>
    <t>MCBT346</t>
  </si>
  <si>
    <t>INTERRUPTOR DIFERENCIAL (PARA RIEL DIN) _ SCHENEIDER _ 30 MA - 4X63 A-  IID-AC -A9R71463</t>
  </si>
  <si>
    <t>MCBT347</t>
  </si>
  <si>
    <t>INTERRUPTOR DIFERENCIAL (PARA RIEL DIN) _ SCHENEIDER _ 30 MA - 4X63 A-  IIDSI-A9R91463-SUPERINMUNIZADO</t>
  </si>
  <si>
    <t>MCBT348</t>
  </si>
  <si>
    <t>INTERRUPTOR DIFERENCIAL (PARA RIEL DIN) _ SCHENEIDER _ 300 MA - 2X25 A-  IID-AC -A9R74225</t>
  </si>
  <si>
    <t>MCBT349</t>
  </si>
  <si>
    <t>INTERRUPTOR DIFERENCIAL (PARA RIEL DIN) _ SCHENEIDER _ 300 MA - 2X40 A-  IID-AC -A9R74240</t>
  </si>
  <si>
    <t>MCBT350</t>
  </si>
  <si>
    <t>INTERRUPTOR DIFERENCIAL (PARA RIEL DIN) _ SCHENEIDER _ 300 MA - 2X63 A-  IID-AC -A9R74263</t>
  </si>
  <si>
    <t>MCBT351</t>
  </si>
  <si>
    <t>INTERRUPTOR DIFERENCIAL (PARA RIEL DIN) _ SCHENEIDER _ 300 MA - 4X40 A-  IID-AC -A9R74440</t>
  </si>
  <si>
    <t>MCBT352</t>
  </si>
  <si>
    <t>INTERRUPTOR DIFERENCIAL (PARA RIEL DIN) _ SCHENEIDER _ 300 MA - 4X63 A-  IID-AC -A9R74463</t>
  </si>
  <si>
    <t>MCBT353</t>
  </si>
  <si>
    <t>INTERRUPTOR DIFERENCIAL (PARA RIEL DIN) _ SCHENEIDER _ 300MA - 4X25 A-  IID-AC -A9R74425</t>
  </si>
  <si>
    <t>MCBT354</t>
  </si>
  <si>
    <t xml:space="preserve">INTERRUPTOR HORARIO ANALOGICO _ SCHENEIDER _ 16 A </t>
  </si>
  <si>
    <t>MCBT355</t>
  </si>
  <si>
    <t>INTERRUPTOR HORARIO DIGITAL _ SCHENEIDER _ 16 A</t>
  </si>
  <si>
    <t>MCBT356</t>
  </si>
  <si>
    <t>INTERRUPTOR HORARIO TUYA SMART SINOTIMER TM 607, CONTROL REMOTO DE ENCENDIDO MONOFASICO 220V 80A</t>
  </si>
  <si>
    <t>MCBT357</t>
  </si>
  <si>
    <t>INTERRUPTOR HORARIO TUYA SMART SINOTIMER TM 608, CONTROL REMOTO DE ENCENDIDO MONOFASICO 220V 16A</t>
  </si>
  <si>
    <t>MCBT358</t>
  </si>
  <si>
    <t>INTERRUPTOR HORARIO TUYA SMART SINOTIMER TM609, CONTROL REMOTO DE ENCENDIDO MONOFASICO 220V 16A</t>
  </si>
  <si>
    <t>MCBT359</t>
  </si>
  <si>
    <t>INTERRUPTOR SIMPLE (MAGIC) _ TICINO _ 5001 _ 16 A - 250 V</t>
  </si>
  <si>
    <t>MCBT360</t>
  </si>
  <si>
    <t>INTERRUPTOR SIMPLE (MODULOS LIGHT) _ TICINO _ N4001 - 1P _ 16 A - 250 V</t>
  </si>
  <si>
    <t>MCBT361</t>
  </si>
  <si>
    <t>INTERRUPTOR TERMOMAGNÉTICO (PARA RIEL DIN) _ SCHENEIDER  1X16A  / 5KA/230VAC - A9K24116 IK60N</t>
  </si>
  <si>
    <t>MCBT362</t>
  </si>
  <si>
    <t>INTERRUPTOR TERMOMAGNÉTICO (PARA RIEL DIN) _ SCHENEIDER _ IC60N _ 1X10 A - 20/10/6 KA 240/380/440 V</t>
  </si>
  <si>
    <t>MCBT363</t>
  </si>
  <si>
    <t>INTERRUPTOR TERMOMAGNÉTICO (PARA RIEL DIN) _ SCHENEIDER 1X100A / 10KA/230VAC -  IC120N  - A9N18358</t>
  </si>
  <si>
    <t>MCBT364</t>
  </si>
  <si>
    <t>INTERRUPTOR TERMOMAGNÉTICO (PARA RIEL DIN) _ SCHENEIDER 1X10A / 10KA/230VAC -  IC60N  - A9F74110</t>
  </si>
  <si>
    <t>MCBT365</t>
  </si>
  <si>
    <t xml:space="preserve">INTERRUPTOR TERMOMAGNÉTICO (PARA RIEL DIN) _ SCHENEIDER 1X10A / 5KA/230VAC - A9K24110 IK60N </t>
  </si>
  <si>
    <t>MCBT366</t>
  </si>
  <si>
    <t>INTERRUPTOR TERMOMAGNÉTICO (PARA RIEL DIN) _ SCHENEIDER 1X16A / 10KA/230VAC -  IC60N  - A9F74116</t>
  </si>
  <si>
    <t>MCBT367</t>
  </si>
  <si>
    <t xml:space="preserve">INTERRUPTOR TERMOMAGNÉTICO (PARA RIEL DIN) _ SCHENEIDER 1X1A / 50KA/230VAC -  IC60N  - A9F74101 </t>
  </si>
  <si>
    <t>MCBT368</t>
  </si>
  <si>
    <t>INTERRUPTOR TERMOMAGNÉTICO (PARA RIEL DIN) _ SCHENEIDER 1X20A / 10KA/230VAC -  IC60N  - A9F74120</t>
  </si>
  <si>
    <t>MCBT369</t>
  </si>
  <si>
    <t>INTERRUPTOR TERMOMAGNÉTICO (PARA RIEL DIN) _ SCHENEIDER 1X25A  / 5KA/230VAC - A9K24125 IK60N</t>
  </si>
  <si>
    <t>MCBT370</t>
  </si>
  <si>
    <t>INTERRUPTOR TERMOMAGNÉTICO (PARA RIEL DIN) _ SCHENEIDER 1X25A / 10KA/230VAC -  IC60N  - A9F74125</t>
  </si>
  <si>
    <t>MCBT371</t>
  </si>
  <si>
    <t>INTERRUPTOR TERMOMAGNÉTICO (PARA RIEL DIN) _ SCHENEIDER 1X2A / 50KA/230VAC -  IC60N  - A9F74102</t>
  </si>
  <si>
    <t>MCBT372</t>
  </si>
  <si>
    <t>INTERRUPTOR TERMOMAGNÉTICO (PARA RIEL DIN) _ SCHENEIDER 1X32A / 10KA/230VAC -  IC60N  - A9F74132</t>
  </si>
  <si>
    <t>MCBT373</t>
  </si>
  <si>
    <t>INTERRUPTOR TERMOMAGNÉTICO (PARA RIEL DIN) _ SCHENEIDER 1X40A / 10KA/230VAC -  IC60N  - A9F74140</t>
  </si>
  <si>
    <t>MCBT374</t>
  </si>
  <si>
    <t>INTERRUPTOR TERMOMAGNÉTICO (PARA RIEL DIN) _ SCHENEIDER 1X4A / 50KA/230VAC -  IC60N  - A9F74104</t>
  </si>
  <si>
    <t>MCBT375</t>
  </si>
  <si>
    <t>INTERRUPTOR TERMOMAGNÉTICO (PARA RIEL DIN) _ SCHENEIDER 1X50A / 10KA/230VAC -  IC60N  - A9F74150</t>
  </si>
  <si>
    <t>MCBT376</t>
  </si>
  <si>
    <t>INTERRUPTOR TERMOMAGNÉTICO (PARA RIEL DIN) _ SCHENEIDER 1X63A / 10KA/230VAC -  IC60N  - A9F74163</t>
  </si>
  <si>
    <t>MCBT377</t>
  </si>
  <si>
    <t>INTERRUPTOR TERMOMAGNÉTICO (PARA RIEL DIN) _ SCHENEIDER 1X6A / 10KA/230VAC -  IC60N  - A9F74106</t>
  </si>
  <si>
    <t>MCBT378</t>
  </si>
  <si>
    <t>INTERRUPTOR TERMOMAGNÉTICO (PARA RIEL DIN) _ SCHENEIDER 2X100A / 20KA/230VAC -  C120N  - A9N18362</t>
  </si>
  <si>
    <t>MCBT379</t>
  </si>
  <si>
    <t>INTERRUPTOR TERMOMAGNÉTICO (PARA RIEL DIN) _ SCHENEIDER 2X10A / 20KA/230VAC -  IC60N  - A9F74210</t>
  </si>
  <si>
    <t>MCBT380</t>
  </si>
  <si>
    <t>INTERRUPTOR TERMOMAGNÉTICO (PARA RIEL DIN) _ SCHENEIDER 2X10A / 5KA/230VAC -  IK60N  - A9K24210</t>
  </si>
  <si>
    <t>MCBT381</t>
  </si>
  <si>
    <t>INTERRUPTOR TERMOMAGNÉTICO (PARA RIEL DIN) _ SCHENEIDER 2X125A / 20KA/230VAC -  C120N  - A9N18363</t>
  </si>
  <si>
    <t>MCBT382</t>
  </si>
  <si>
    <t>INTERRUPTOR TERMOMAGNÉTICO (PARA RIEL DIN) _ SCHENEIDER 2X16A / 20KA/230VAC -  IC60N  - A9F74216</t>
  </si>
  <si>
    <t>MCBT383</t>
  </si>
  <si>
    <t>INTERRUPTOR TERMOMAGNÉTICO (PARA RIEL DIN) _ SCHENEIDER 2X16A / 5KA/230VAC -  IK60N  - A9K24216</t>
  </si>
  <si>
    <t>MCBT384</t>
  </si>
  <si>
    <t xml:space="preserve">INTERRUPTOR TERMOMAGNÉTICO (PARA RIEL DIN) _ SCHENEIDER 2X1A / 50KA/230VAC -  IC60N  - A9F74201 </t>
  </si>
  <si>
    <t>MCBT385</t>
  </si>
  <si>
    <t>INTERRUPTOR TERMOMAGNÉTICO (PARA RIEL DIN) _ SCHENEIDER 2X20A / 20KA/230VAC -  IC60N  - A9F74220</t>
  </si>
  <si>
    <t>MCBT386</t>
  </si>
  <si>
    <t>INTERRUPTOR TERMOMAGNÉTICO (PARA RIEL DIN) _ SCHENEIDER 2X20A / 5KA/230VAC -  IK60N  - A9K24220</t>
  </si>
  <si>
    <t>MCBT387</t>
  </si>
  <si>
    <t>INTERRUPTOR TERMOMAGNÉTICO (PARA RIEL DIN) _ SCHENEIDER 2X25A / 20KA/230VAC -  IC60N  - A9F74225</t>
  </si>
  <si>
    <t>MCBT388</t>
  </si>
  <si>
    <t>INTERRUPTOR TERMOMAGNÉTICO (PARA RIEL DIN) _ SCHENEIDER 2X25A / 5KA/230VAC -  IK60N  - A9K24225</t>
  </si>
  <si>
    <t>MCBT389</t>
  </si>
  <si>
    <t>INTERRUPTOR TERMOMAGNÉTICO (PARA RIEL DIN) _ SCHENEIDER 2X2A / 50KA/230VAC -  IC60N  - A9F74202</t>
  </si>
  <si>
    <t>MCBT390</t>
  </si>
  <si>
    <t>INTERRUPTOR TERMOMAGNÉTICO (PARA RIEL DIN) _ SCHENEIDER 2X32A / 20KA/230VAC -  IC60N  - A9F74232</t>
  </si>
  <si>
    <t>MCBT391</t>
  </si>
  <si>
    <t>INTERRUPTOR TERMOMAGNÉTICO (PARA RIEL DIN) _ SCHENEIDER 2X32A/ 5KA/230VAC -  IK60N  - A9K24232</t>
  </si>
  <si>
    <t>MCBT392</t>
  </si>
  <si>
    <t>INTERRUPTOR TERMOMAGNÉTICO (PARA RIEL DIN) _ SCHENEIDER 2X40A / 20KA/230VAC -  IC60N  - A9F74240</t>
  </si>
  <si>
    <t>MCBT393</t>
  </si>
  <si>
    <t>INTERRUPTOR TERMOMAGNÉTICO (PARA RIEL DIN) _ SCHENEIDER 2X40A / 5KA/230VAC -  IK60N  - A9K24240</t>
  </si>
  <si>
    <t>MCBT394</t>
  </si>
  <si>
    <t>INTERRUPTOR TERMOMAGNÉTICO (PARA RIEL DIN) _ SCHENEIDER 2X4A / 50KA/230VAC -  IC60N  - A9F74204</t>
  </si>
  <si>
    <t>MCBT395</t>
  </si>
  <si>
    <t>INTERRUPTOR TERMOMAGNÉTICO (PARA RIEL DIN) _ SCHENEIDER 2X50A / 20KA/230VAC -  IC60N  - A9F74250</t>
  </si>
  <si>
    <t>MCBT396</t>
  </si>
  <si>
    <t>INTERRUPTOR TERMOMAGNÉTICO (PARA RIEL DIN) _ SCHENEIDER 2X50A / 5KA/230VAC -  IK60N  - A9K24250</t>
  </si>
  <si>
    <t>MCBT397</t>
  </si>
  <si>
    <t>INTERRUPTOR TERMOMAGNÉTICO (PARA RIEL DIN) _ SCHENEIDER 2X63A / 20KA/230VAC -  IC60N  - A9F74263</t>
  </si>
  <si>
    <t>MCBT398</t>
  </si>
  <si>
    <t>INTERRUPTOR TERMOMAGNÉTICO (PARA RIEL DIN) _ SCHENEIDER 2X63A / 5KA/230VAC -  IK60N  - A9K24263</t>
  </si>
  <si>
    <t>MCBT399</t>
  </si>
  <si>
    <t>INTERRUPTOR TERMOMAGNÉTICO (PARA RIEL DIN) _ SCHENEIDER 2X6A / 20KA/230VAC -  IC60N  - A9F74206</t>
  </si>
  <si>
    <t>MCBT400</t>
  </si>
  <si>
    <t>INTERRUPTOR TERMOMAGNÉTICO (PARA RIEL DIN) _ SCHENEIDER 2X80A / 20KA/230VAC -  C120N  - A9N18361</t>
  </si>
  <si>
    <t>MCBT401</t>
  </si>
  <si>
    <t>INTERRUPTOR TERMOMAGNÉTICO (PARA RIEL DIN) _ SCHENEIDER 3X100A / 20KA/230VAC -  C120N - A9N18367</t>
  </si>
  <si>
    <t>MCBT402</t>
  </si>
  <si>
    <t>INTERRUPTOR TERMOMAGNÉTICO (PARA RIEL DIN) _ SCHENEIDER 3X10A / 20KA/230VAC -  IC60N - A9F74310</t>
  </si>
  <si>
    <t>MCBT403</t>
  </si>
  <si>
    <t>INTERRUPTOR TERMOMAGNÉTICO (PARA RIEL DIN) _ SCHENEIDER 3X10A / 5KA/230VAC -  IK60N  - A9K24310</t>
  </si>
  <si>
    <t>MCBT404</t>
  </si>
  <si>
    <t>INTERRUPTOR TERMOMAGNÉTICO (PARA RIEL DIN) _ SCHENEIDER 3X125A / 20KA/230VAC -  C120N - A9N18369</t>
  </si>
  <si>
    <t>MCBT405</t>
  </si>
  <si>
    <t>INTERRUPTOR TERMOMAGNÉTICO (PARA RIEL DIN) _ SCHENEIDER 3X16A / 20KA/230VAC -  IC60N - A9F74316</t>
  </si>
  <si>
    <t>MCBT406</t>
  </si>
  <si>
    <t>INTERRUPTOR TERMOMAGNÉTICO (PARA RIEL DIN) _ SCHENEIDER 3X16A / 5KA/230VAC -  IK60N  - A9K24316</t>
  </si>
  <si>
    <t>MCBT407</t>
  </si>
  <si>
    <t>INTERRUPTOR TERMOMAGNÉTICO (PARA RIEL DIN) _ SCHENEIDER 3X1A / 50KA/230VAC -  IC60N  - A9F74301</t>
  </si>
  <si>
    <t>MCBT408</t>
  </si>
  <si>
    <t>INTERRUPTOR TERMOMAGNÉTICO (PARA RIEL DIN) _ SCHENEIDER 3X20A / 20KA/230VAC -  IC60N - A9F74320</t>
  </si>
  <si>
    <t>MCBT409</t>
  </si>
  <si>
    <t>INTERRUPTOR TERMOMAGNÉTICO (PARA RIEL DIN) _ SCHENEIDER 3X20A / 5KA/230VAC -  IK60N  - A9K24320</t>
  </si>
  <si>
    <t>MCBT410</t>
  </si>
  <si>
    <t>INTERRUPTOR TERMOMAGNÉTICO (PARA RIEL DIN) _ SCHENEIDER 3X25A / 20KA/230VAC -  IC60N - A9F74325</t>
  </si>
  <si>
    <t>MCBT411</t>
  </si>
  <si>
    <t>INTERRUPTOR TERMOMAGNÉTICO (PARA RIEL DIN) _ SCHENEIDER 3X25A / 5KA/230VAC -  IK60N  - A9K24325</t>
  </si>
  <si>
    <t>MCBT412</t>
  </si>
  <si>
    <t>INTERRUPTOR TERMOMAGNÉTICO (PARA RIEL DIN) _ SCHENEIDER 3X2A / 50KA/230VAC -  IC60N  - A9F74302</t>
  </si>
  <si>
    <t>MCBT413</t>
  </si>
  <si>
    <t>INTERRUPTOR TERMOMAGNÉTICO (PARA RIEL DIN) _ SCHENEIDER 3X32A / 20KA/230VAC -  IC60N - A9F74332</t>
  </si>
  <si>
    <t>MCBT414</t>
  </si>
  <si>
    <t>INTERRUPTOR TERMOMAGNÉTICO (PARA RIEL DIN) _ SCHENEIDER 3X32A / 5KA/230VAC -  IK60N  - A9K24332</t>
  </si>
  <si>
    <t>MCBT415</t>
  </si>
  <si>
    <t>INTERRUPTOR TERMOMAGNÉTICO (PARA RIEL DIN) _ SCHENEIDER 3X40A / 20KA/230VAC -  IC60N - A9F74340</t>
  </si>
  <si>
    <t>MCBT416</t>
  </si>
  <si>
    <t>INTERRUPTOR TERMOMAGNÉTICO (PARA RIEL DIN) _ SCHENEIDER 3X40A/ 5KA/230VAC -  IK60N  - A9K24340</t>
  </si>
  <si>
    <t>MCBT417</t>
  </si>
  <si>
    <t>INTERRUPTOR TERMOMAGNÉTICO (PARA RIEL DIN) _ SCHENEIDER 3X4A / 50KA/230VAC -  IC60N  - A9F74304</t>
  </si>
  <si>
    <t>MCBT418</t>
  </si>
  <si>
    <t>INTERRUPTOR TERMOMAGNÉTICO (PARA RIEL DIN) _ SCHENEIDER 3X50A / 20KA/230VAC -  IC60N - A9F74350</t>
  </si>
  <si>
    <t>MCBT419</t>
  </si>
  <si>
    <t>INTERRUPTOR TERMOMAGNÉTICO (PARA RIEL DIN) _ SCHENEIDER 3X50A / 5KA/230VAC -  IK60N  - A9K24350</t>
  </si>
  <si>
    <t>MCBT420</t>
  </si>
  <si>
    <t>INTERRUPTOR TERMOMAGNÉTICO (PARA RIEL DIN) _ SCHENEIDER 3X63A / 20KA/230VAC -  IC60N -A9F74363</t>
  </si>
  <si>
    <t>MCBT421</t>
  </si>
  <si>
    <t>INTERRUPTOR TERMOMAGNÉTICO (PARA RIEL DIN) _ SCHENEIDER 3X63A / 5KA/230VAC -  IK60N  - A9K24363</t>
  </si>
  <si>
    <t>MCBT422</t>
  </si>
  <si>
    <t>INTERRUPTOR TERMOMAGNÉTICO (PARA RIEL DIN) _ SCHENEIDER 3X6A / 20KA/230VAC -  IC60N  - A9F74306</t>
  </si>
  <si>
    <t>MCBT423</t>
  </si>
  <si>
    <t>INTERRUPTOR TERMOMAGNÉTICO (PARA RIEL DIN) _ SCHENEIDER 3X80A / 20KA/230VAC -  C120N - A9N18365</t>
  </si>
  <si>
    <t>MCBT424</t>
  </si>
  <si>
    <t>INTERRUPTOR TERMOMAGNETICO TIPO CAJA MOLDEADA  3P NW, 1600A, TIPO H1, 3 POLOS, MICROLOGIC 5.0E, FIJO, MANUAL</t>
  </si>
  <si>
    <t>MCBT425</t>
  </si>
  <si>
    <t xml:space="preserve">INTERRUPTOR TERMOMAGNETICO TIPO CAJA MOLDEADA  3P REGULABLE _112-160A- SCHENEIDER _ NSX160F </t>
  </si>
  <si>
    <t>MCBT426</t>
  </si>
  <si>
    <t xml:space="preserve">INTERRUPTOR TERMOMAGNETICO TIPO CAJA MOLDEADA  3P REGULABLE _140-200A- SCHENEIDER _ NSX250F </t>
  </si>
  <si>
    <t>MCBT427</t>
  </si>
  <si>
    <t xml:space="preserve">INTERRUPTOR TERMOMAGNETICO TIPO CAJA MOLDEADA  3P REGULABLE _175-250A- SCHENEIDER _ NSX250F </t>
  </si>
  <si>
    <t>MCBT428</t>
  </si>
  <si>
    <t>INTERRUPTOR TERMOMAGNETICO TIPO CAJA MOLDEADA  3P REGULABLE _35-50A- SCHENEIDER _ NSX100F</t>
  </si>
  <si>
    <t>MCBT429</t>
  </si>
  <si>
    <t>INTERRUPTOR TERMOMAGNETICO TIPO CAJA MOLDEADA  3P REGULABLE _44.1-63A- SCHENEIDER _ NSX100F</t>
  </si>
  <si>
    <t>MCBT430</t>
  </si>
  <si>
    <t xml:space="preserve">INTERRUPTOR TERMOMAGNETICO TIPO CAJA MOLDEADA  3P REGULABLE _56-80A- SCHENEIDER _ NSX100F </t>
  </si>
  <si>
    <t>MCBT431</t>
  </si>
  <si>
    <t xml:space="preserve">INTERRUPTOR TERMOMAGNETICO TIPO CAJA MOLDEADA  3P REGULABLE _70-100A- SCHENEIDER _ NSX100F </t>
  </si>
  <si>
    <t>MCBT432</t>
  </si>
  <si>
    <t xml:space="preserve">INTERRUPTOR TERMOMAGNETICO TIPO CAJA MOLDEADA  3P REGULABLE _87.5-125A- SCHENEIDER _ NSX160F </t>
  </si>
  <si>
    <t>MCBT433</t>
  </si>
  <si>
    <t xml:space="preserve">INTERRUPTOR TERMOMAGNETICO TIPO CAJA MOLDEADA  3P REGULABLE 160-400 - SCHNEIDER - NSX400N </t>
  </si>
  <si>
    <t>MCBT434</t>
  </si>
  <si>
    <t xml:space="preserve">INTERRUPTOR TERMOMAGNETICO TIPO CAJA MOLDEADA  3P REGULABLE 252-630 - SCHNEIDER - NSX630N </t>
  </si>
  <si>
    <t>MCBT435</t>
  </si>
  <si>
    <t xml:space="preserve">INTERRUPTOR TERMOMAGNETICO TIPO CAJA MOLDEADA  3P REGULABLE 320-800 - SCHNEIDER - NS800N </t>
  </si>
  <si>
    <t>MCBT436</t>
  </si>
  <si>
    <t xml:space="preserve">INTERRUPTOR TERMOMAGNETICO TIPO CAJA MOLDEADA  3P REGULABLE 400-1000 - SCHNEIDER - NS1000N </t>
  </si>
  <si>
    <t>MCBT437</t>
  </si>
  <si>
    <t xml:space="preserve">INTERRUPTOR TERMOMAGNETICO TIPO CAJA MOLDEADA  3P REGULABLE 500-1250 - SCHNEIDER - NS1250N </t>
  </si>
  <si>
    <t>MCBT438</t>
  </si>
  <si>
    <t>JACK PANDUIT _ RJ45 -CAT 5E</t>
  </si>
  <si>
    <t>MCBT439</t>
  </si>
  <si>
    <t>JUEGO DE BARRAS PARA TABLERO TRIFÁSICO_36 POLOS_CAPACIDAD DE 160A (INCLUYE AISLADORES)</t>
  </si>
  <si>
    <t>MCBT440</t>
  </si>
  <si>
    <t>JUEGO DE BARRAS PARA TABLERO TRIFÁSICO_48 POLOS_CAPACIDAD DE 160A (INCLUYE AISLADORES)</t>
  </si>
  <si>
    <t>MCBT441</t>
  </si>
  <si>
    <t>JUEGO DE BARRAS PARA TABLERO TRIFÁSICO_72 POLOS_CAPACIDAD DE 160A (INCLUYE AISLADORES)</t>
  </si>
  <si>
    <t>MCBT442</t>
  </si>
  <si>
    <t>LOGO 12/24RCE, LOGIC MODULE, DISPLAY PS/I/O: 12/24VDC/RELAY, 8 DI (4 AI)/4 DQ, SIEMENS</t>
  </si>
  <si>
    <t>MCBT443</t>
  </si>
  <si>
    <t>LUMINARIA LED ADOSADA/EMPOTRADA 12W, PANEL LED DAIRU, LUZ NEUTRA / FRÍA</t>
  </si>
  <si>
    <t>MCBT444</t>
  </si>
  <si>
    <t>LUMINARIA LED ADOSADA/EMPOTRADA 18W CON SENSOR DE MOVIMIENTO, LUZ CÁLIDA, PANEL LED DAIRU</t>
  </si>
  <si>
    <t>MCBT445</t>
  </si>
  <si>
    <t>LUMINARIA LED ADOSADA/EMPOTRADA 18W CON SENSOR DE MOVIMIENTO, LUZ FRÍA, PANEL LED DAIRU</t>
  </si>
  <si>
    <t>MCBT446</t>
  </si>
  <si>
    <t>LUMINARIA LED ADOSADA/EMPOTRADA 18W, PANEL LED DAIRU LUZ NEUTRA / FRÍA</t>
  </si>
  <si>
    <t>MCBT447</t>
  </si>
  <si>
    <t>LUMINARIA LED ADOSADA/EMPOTRADA 24W, PANEL LED DAIRU LUZ NEUTRA / FRÍA</t>
  </si>
  <si>
    <t>MCBT448</t>
  </si>
  <si>
    <t>LUMINARIA LED CIRCULAR 18W PHILLIPS, LUZ BLANCA/CÁLIDA</t>
  </si>
  <si>
    <t>MCBT449</t>
  </si>
  <si>
    <t>LUMINARIA LED CIRCULAR 32W PHILLIPS, LUZ BLANCA/CÁLIDA</t>
  </si>
  <si>
    <t>MCBT450</t>
  </si>
  <si>
    <t>LUMINARIA SPOT LIGHT  (2X18 W) LED</t>
  </si>
  <si>
    <t>MCBT451</t>
  </si>
  <si>
    <t>LUMINARIA SPOTLIGHT AIRIS LED DOWNLIGHT 8" 20W 2400LM 4000K</t>
  </si>
  <si>
    <t>MCBT452</t>
  </si>
  <si>
    <t>LUMINARIA TUBO LED 18W, 120CM LARGO, LUZ BLANCA, VOLTAJE AC 110 - 240V, VIDA ÚTIL 50000H, MARCA DIXON LIGHTING</t>
  </si>
  <si>
    <t>MCBT453</t>
  </si>
  <si>
    <t>LUMINARIA TUBO LED 36W, 120CM LARGO, LUZ BLANCA, VOLTAJE AC 110 - 240V, VIDA ÚTIL 50000H, MARCA DIXON LIGHTING</t>
  </si>
  <si>
    <t>MCBT454</t>
  </si>
  <si>
    <t>PATCH CORD CAT. 6 U/UTP 1 M PVC _ LEGRAND</t>
  </si>
  <si>
    <t>MCBT455</t>
  </si>
  <si>
    <t>PILOTO DE SEÑALIZACIÓN C/ LED (ROJO,AZUL, VERDE,ETC) 230 VAC</t>
  </si>
  <si>
    <t>MCBT456</t>
  </si>
  <si>
    <t>PLACA ACRÍLICA CON SEÑALIZACIÓN DE 15X21CMTS "PARADA DE EMERGENCIA"</t>
  </si>
  <si>
    <t>MCBT457</t>
  </si>
  <si>
    <t>PLACA PANDUIT DE 2 SALIDAS</t>
  </si>
  <si>
    <t>MCBT458</t>
  </si>
  <si>
    <t>PLC - RELE MODULAR PROGRAMABLE C/ RELOJ _ SCHENEIDER _ SR3B101FU _ 100 - 240 V - (6 ENTRADAS, 4 SALIDAS)</t>
  </si>
  <si>
    <t>MCBT459</t>
  </si>
  <si>
    <t>PM2200 ANALIZADOR DE ENERGÍA SCHNEIDER ELECTRIC</t>
  </si>
  <si>
    <t>MCBT460</t>
  </si>
  <si>
    <t>PM2230 ANALIZADOR DE ENERGÍA SCHENIEDER ELECTRIC</t>
  </si>
  <si>
    <t>MCBT461</t>
  </si>
  <si>
    <t>PRENSA ESTOPA HERMÉTICA - 1"</t>
  </si>
  <si>
    <t>MCBT462</t>
  </si>
  <si>
    <t>PRENSA ESTOPA HERMÉTICA - 1/2"</t>
  </si>
  <si>
    <t>MCBT463</t>
  </si>
  <si>
    <t>PRENSA ESTOPA HERMÉTICA - 3/4"</t>
  </si>
  <si>
    <t>MCBT464</t>
  </si>
  <si>
    <t>PULSADOR" DE EMERGENCIA _ ROJO (NC) C/ ENCLAVAMIENTO _ SCHENEIDER</t>
  </si>
  <si>
    <t>MCBT465</t>
  </si>
  <si>
    <t>REGULADOR DE FACTOR DE POTENCIA REACTIVA 6 PASOS VPL - 6N - SCHNEIDER ELECTRIC</t>
  </si>
  <si>
    <t>MCBT466</t>
  </si>
  <si>
    <t>RELÉ DE FUGA A TIERRA VIGIREX RH99M CON REINICIO MANUAL, 0,03-30 A, 0-4,5 S, 240 V</t>
  </si>
  <si>
    <t>MCBT467</t>
  </si>
  <si>
    <t>RIEL DIN  SIMETRICO _ CAMSCO _ 35MM X 2M</t>
  </si>
  <si>
    <t>MCBT468</t>
  </si>
  <si>
    <t>RIEL UNISTRUT ALTO DE 42 X 42 X 1000 MM DE F.G. P1000T RANURADO</t>
  </si>
  <si>
    <t>MCBT469</t>
  </si>
  <si>
    <t>ROTULO PARA INTERRUPTORES _ ALUMINIO ANODIZADO (2X4CMTS)</t>
  </si>
  <si>
    <t>MCBT470</t>
  </si>
  <si>
    <t>ROTULO PARA LEYENDAS DE TABLERO _ ALUMINIO ANODIZADO (8X16CMTS)</t>
  </si>
  <si>
    <t>MCBT471</t>
  </si>
  <si>
    <t>ROTULO PARA TÍTULO DE TABLERO _  ALUMINIO ANODIZADO (3X10CMTS)</t>
  </si>
  <si>
    <t>MCBT472</t>
  </si>
  <si>
    <t>SELECTOR TIPO MANETA DE 2 PASOS SCHNEIDER ELECTRIC</t>
  </si>
  <si>
    <t>MCBT473</t>
  </si>
  <si>
    <t>SENSOR DE PRESENCIA HUMANA TUYA WIFI/3 EN 1 ZIGBEE, RADAR DE ONDA MILIMÉTRICA DE 24G, DETECCIÓN PIR, DETECTOR DE DISTANCIA DE LUMINOSIDAD </t>
  </si>
  <si>
    <t>MCBT474</t>
  </si>
  <si>
    <t>SEPARADOR PARA CANALETA DE 110X50 10099R EFAPEL</t>
  </si>
  <si>
    <t>MCBT475</t>
  </si>
  <si>
    <t>TABLERO DE PVC DE 10 POLOS</t>
  </si>
  <si>
    <t>MCBT476</t>
  </si>
  <si>
    <t>TABLERO DISTRIBUCIÓN TRIFÁSICO ELÉCTRICO 14 POLOS PARA ITM'S RIEL DIN, INCLUYE BARRA INTERNA, MANDIL ABISAGRADO, IP54, PLANCHA GALVANIZADA 2MM, PINTURA RAL.</t>
  </si>
  <si>
    <t>MCBT477</t>
  </si>
  <si>
    <t>TABLERO METALICO PARA ADOSAR DE 12 POLOS PLANCHA DE 1.9MM ESPESOR</t>
  </si>
  <si>
    <t>MCBT478</t>
  </si>
  <si>
    <t>MCBT479</t>
  </si>
  <si>
    <t>TABLERO METALICO PARA ADOSAR DE 20 POLOS PLANCHA DE 1.9MM ESPESOR</t>
  </si>
  <si>
    <t>MCBT480</t>
  </si>
  <si>
    <t>TABLERO METALICO PARA ADOSAR DE 30 POLOS PLANCHA DE 1.9MM ESPESOR</t>
  </si>
  <si>
    <t>MCBT481</t>
  </si>
  <si>
    <t>TABLERO METALICO PARA ADOSAR DE 40 POLOS PLANCHA DE 1.9MM ESPESOR</t>
  </si>
  <si>
    <t>MCBT482</t>
  </si>
  <si>
    <t>TAPA CIEGA (RESERVA DE INTERRUPTORES EN TABLEROS)</t>
  </si>
  <si>
    <t>MCBT483</t>
  </si>
  <si>
    <t>TAPA CIEGA DE METAL _ 10" X 10"</t>
  </si>
  <si>
    <t>MCBT484</t>
  </si>
  <si>
    <t>TAPA CIEGA DE METAL _ 8" X 8"</t>
  </si>
  <si>
    <t>MCBT485</t>
  </si>
  <si>
    <t>TAPA CIEGA DE PVC RECTANGULAR 4X2"</t>
  </si>
  <si>
    <t>MCBT486</t>
  </si>
  <si>
    <t>TAPA FINAL DE 110 X 50 MM 10095RBR EFAPEL</t>
  </si>
  <si>
    <t>MCBT487</t>
  </si>
  <si>
    <t>TAPA FINAL DE 20 X 12.5 MM EFAPHEL</t>
  </si>
  <si>
    <t>MCBT488</t>
  </si>
  <si>
    <t>TAPA FINAL DE 50 X 20 MM LEGRAND DLP-S 638165</t>
  </si>
  <si>
    <t>MCBT489</t>
  </si>
  <si>
    <t>TEE DE DERIVACION DE CANALETA DE 110 X 50 MM 10091RBR EFAPEL</t>
  </si>
  <si>
    <t>MCBT490</t>
  </si>
  <si>
    <t>TEE DE DERIVACION DE CANALETA DE 50 X 20 MM LEGRAND - DLP-S 638164</t>
  </si>
  <si>
    <t>MCBT491</t>
  </si>
  <si>
    <t>TERMINAL PARA CABLE DE 1.5 MM2</t>
  </si>
  <si>
    <t>MCBT492</t>
  </si>
  <si>
    <t>TERMINAL PARA CABLE DE 2.5 MM2</t>
  </si>
  <si>
    <t>MCBT493</t>
  </si>
  <si>
    <t>TERMINAL PARA CABLE DE 4 MM2</t>
  </si>
  <si>
    <t>MCBT494</t>
  </si>
  <si>
    <t>TERMINAL PARA CABLE DE 6 MM2</t>
  </si>
  <si>
    <t>MCBT495</t>
  </si>
  <si>
    <t>TERMINALES P/ CABLES DE ENERGIA 10 MM2 HUECO DE 1/2 _ TALMA</t>
  </si>
  <si>
    <t>MCBT496</t>
  </si>
  <si>
    <t>TERMINALES P/ CABLES DE ENERGIA 16 MM2 HUECO DE 3/8  _ TALMA</t>
  </si>
  <si>
    <t>MCBT497</t>
  </si>
  <si>
    <t>TERMINALES P/ CABLES DE ENERGIA 25 MM2 HUECO DE 1/2 _ TALMA</t>
  </si>
  <si>
    <t>MCBT498</t>
  </si>
  <si>
    <t>TERMINALES P/ CABLES DE ENERGIA 35 MM2 HUECO DE 1/2  _ TALMA</t>
  </si>
  <si>
    <t>MCBT499</t>
  </si>
  <si>
    <t>TERMINALES P/ CABLES DE ENERGIA 50 MM2 HUECO 1/2 _ TALMA</t>
  </si>
  <si>
    <t>MCBT500</t>
  </si>
  <si>
    <t>TIERRA DE CULTIVO (CHACRA)</t>
  </si>
  <si>
    <t>MCBT501</t>
  </si>
  <si>
    <t>TOMA 16 A (2P+T) - 250 V (AZUL) 6H _ MENNEKES _ 278 _ IP67</t>
  </si>
  <si>
    <t>MCBT502</t>
  </si>
  <si>
    <t>TOMA 16 A (3P+T) - 250 V (AZUL) 6H _ MENNEKES _ 278 _ IP67</t>
  </si>
  <si>
    <t>MCBT503</t>
  </si>
  <si>
    <t>TOMA 16 A (3P+T+N) - 250 V (AZUL) 6H _ MENNEKES _ 278 _ IP67</t>
  </si>
  <si>
    <t>MCBT504</t>
  </si>
  <si>
    <t>TOMA 32 A (2P+T) - 250 V (AZUL) 6H  _ MENNEKES _ 260 _ IP44</t>
  </si>
  <si>
    <t>MCBT505</t>
  </si>
  <si>
    <t>TOMA 32 A (3P+T) - 250 V (AZUL) 6H  _ MENNEKES _ 260 _ IP44</t>
  </si>
  <si>
    <t>MCBT506</t>
  </si>
  <si>
    <t>TOMA 32 A (3P+T+N) - 250 V (AZUL) 6H  _ MENNEKES _ 260 _ IP44</t>
  </si>
  <si>
    <t>MCBT507</t>
  </si>
  <si>
    <t>TOMA 63 A (2P+T) - 250 V (AZUL) 6H  _ MENNEKES _ 260 _ IP45</t>
  </si>
  <si>
    <t>MCBT508</t>
  </si>
  <si>
    <t>TOMA 63 A (3P+T) - 250 V (AZUL) 6H  _ MENNEKES _ 260 _ IP45</t>
  </si>
  <si>
    <t>MCBT509</t>
  </si>
  <si>
    <t>TOMA 63 A (3P+T+N) - 250 V (AZUL) 6H  _ MENNEKES _ 260 _ IP45</t>
  </si>
  <si>
    <t>MCBT510</t>
  </si>
  <si>
    <t xml:space="preserve">TOMACORRIENTE 2P+T 10/16A - TIPO BIPASO - MODUS PLUS MINK _ TICINO _ 1180MIX _ 250 V </t>
  </si>
  <si>
    <t>MCBT511</t>
  </si>
  <si>
    <t>TOMACORRIENTE DOBLE 2P UNIVERSAL - MODUS PLUS - (COLOR BLANCO) _ TICINO _ 1212WB _ 16 A - 250 V</t>
  </si>
  <si>
    <t>MCBT512</t>
  </si>
  <si>
    <t>TOMACORRIENTE DOBLE 2P+T AMERICANO - MODUS PLUS _ TICINO _ 1228MAX _ 15 A - 250 VAC</t>
  </si>
  <si>
    <t>MCBT513</t>
  </si>
  <si>
    <t>TOMACORRIENTE SIMPLE + PLACA 503/1SR _ TICINO _ 5025 _ 15 A - 250 V - MÁS PLACA  (BLANCO - CREMA)</t>
  </si>
  <si>
    <t>MCBT514</t>
  </si>
  <si>
    <t>TOROIDE CERRADO PARA PROTECCIÓN DE CORRIENTE RESIDUAL SA, Ø 200 MM</t>
  </si>
  <si>
    <t>MCBT515</t>
  </si>
  <si>
    <t>TOROIDE RECTANGULAR, 1600 A, 280 X 115 MM, PARA VIGILOHM, VIGIREX</t>
  </si>
  <si>
    <t>MCBT516</t>
  </si>
  <si>
    <t>TRANSFORMADOR DE AISLAMIENTO 220/380V 20KVA FACTOR K-13</t>
  </si>
  <si>
    <t>MCBT517</t>
  </si>
  <si>
    <t>TRANSFORMADOR DE AISLAMIENTO 220/380V 35KVA FACTOR K-13</t>
  </si>
  <si>
    <t>MCBT518</t>
  </si>
  <si>
    <t>TRANSFORMADOR DE AISLAMIENTO TRIFÁSICO - 10 KVA, K13</t>
  </si>
  <si>
    <t>MCBT519</t>
  </si>
  <si>
    <t>TRANSFORMADOR DE AISLAMIENTO TRIFÁSICO - 3 KVA , K13</t>
  </si>
  <si>
    <t>MCBT520</t>
  </si>
  <si>
    <t>TRANSFORMADOR DE AISLAMIENTO TRIFÁSICO - 4 KVA, K13</t>
  </si>
  <si>
    <t>MCBT521</t>
  </si>
  <si>
    <t>TRANSFORMADOR DE AISLAMIENTO TRIFÁSICO - 6 KVA, K13</t>
  </si>
  <si>
    <t>MCBT522</t>
  </si>
  <si>
    <t>TRANSFORMADOR DE CORRIENTE 100 A / 5 A SCHNEIDER ELECTRIC</t>
  </si>
  <si>
    <t>MCBT523</t>
  </si>
  <si>
    <t>TRANSFORMADOR DE CORRIENTE 200 A / 5 A SCHNEIDER ELECTRIC</t>
  </si>
  <si>
    <t>MCBT524</t>
  </si>
  <si>
    <t>TRANSFORMADOR DE CORRIENTE 400 A / 5 A SCHNEIDER ELECTRIC</t>
  </si>
  <si>
    <t>MCBT525</t>
  </si>
  <si>
    <t>TRANSFORMADOR DE CORRIENTE 75 A / 5 A SCHNEIDER ELECTRIC</t>
  </si>
  <si>
    <t>MCBT526</t>
  </si>
  <si>
    <t>TRANSFORMADOR DE CORRIENTE DE DOBLE NÚCLEO POWERLOGIC - TIPO GG, PARA BARRA - 800 A / 5 A SCHNEIDER ELECTRIC</t>
  </si>
  <si>
    <t>MCBT527</t>
  </si>
  <si>
    <t>TRANSFORMADOR DE CORRIENTE DE DOBLE NÚCLEO POWERLOGIC - TIPO GJ, PARA BARRA - 1000 A / 5 A SCHNEIDER ELECTRIC</t>
  </si>
  <si>
    <t>MCBT528</t>
  </si>
  <si>
    <t>TRANSFORMADORES DE CORRIENTE DE NUCLEO PARTIDO 5 /100</t>
  </si>
  <si>
    <t>MCBT529</t>
  </si>
  <si>
    <t>TRANSFORMADORES DE CORRIENTE DE NUCLEO PARTIDO 5 /1000</t>
  </si>
  <si>
    <t>MCBT530</t>
  </si>
  <si>
    <t>TRANSFORMADORES DE CORRIENTE DE NUCLEO PARTIDO 5 /200</t>
  </si>
  <si>
    <t>MCBT531</t>
  </si>
  <si>
    <t>TRANSFORMADORES DE CORRIENTE DE NUCLEO PARTIDO 5 /300</t>
  </si>
  <si>
    <t>MCBT532</t>
  </si>
  <si>
    <t>TRANSFORMADORES DE CORRIENTE DE NUCLEO PARTIDO 5 /400</t>
  </si>
  <si>
    <t>MCBT533</t>
  </si>
  <si>
    <t>TRANSFORMADORES DE CORRIENTE DE NUCLEO PARTIDO 5 /500</t>
  </si>
  <si>
    <t>MCBT534</t>
  </si>
  <si>
    <t>TUBERIA  _ 1 1/2" EMT</t>
  </si>
  <si>
    <t>MCBT535</t>
  </si>
  <si>
    <t>TUBERIA  _ 2" EMT</t>
  </si>
  <si>
    <t>MCBT536</t>
  </si>
  <si>
    <t>TUBERIA  _ 3" EMT</t>
  </si>
  <si>
    <t>MCBT537</t>
  </si>
  <si>
    <t>TUBERIA  _ 4" EMT</t>
  </si>
  <si>
    <t>MCBT538</t>
  </si>
  <si>
    <t>TUBERIA _ 1" EMT</t>
  </si>
  <si>
    <t>MCBT539</t>
  </si>
  <si>
    <t>TUBERIA _ 3/4" EMT</t>
  </si>
  <si>
    <t>MCBT540</t>
  </si>
  <si>
    <t>TUBERIA DE PVC - SAP -  4"</t>
  </si>
  <si>
    <t>MCBT541</t>
  </si>
  <si>
    <t>TUBERIA DE PVC - SAP - 1 1/2"</t>
  </si>
  <si>
    <t>MCBT542</t>
  </si>
  <si>
    <t>TUBERIA DE PVC - SAP - 1"</t>
  </si>
  <si>
    <t>MCBT543</t>
  </si>
  <si>
    <t>TUBERIA DE PVC - SAP - 1/2"</t>
  </si>
  <si>
    <t>MCBT544</t>
  </si>
  <si>
    <t>TUBERIA DE PVC - SAP - 2"</t>
  </si>
  <si>
    <t>MCBT545</t>
  </si>
  <si>
    <t>TUBERIA DE PVC - SAP - 3/4"</t>
  </si>
  <si>
    <t>MCBT546</t>
  </si>
  <si>
    <t>TUBERIA FLEXIBLE (GRIS CERRADA)  PVC - BG-26P KSS _ 3/4"</t>
  </si>
  <si>
    <t>MCBT547</t>
  </si>
  <si>
    <t>TUBERIA FLEXIBLE (GRIS CERRADA) PVC - BG-22P KSS _ 1/2"</t>
  </si>
  <si>
    <t>MCBT548</t>
  </si>
  <si>
    <t>TUBERIA FLEXIBLE (GRIS CERRADA) PVC - BG-34P KSS _ 1"</t>
  </si>
  <si>
    <t>MCBT549</t>
  </si>
  <si>
    <t>TUBERIA FLEXIBLE DE FIERRO GALVANIZADO / CON FORRO DE PVC _ 1 1/2"</t>
  </si>
  <si>
    <t>MCBT550</t>
  </si>
  <si>
    <t>TUBERIA FLEXIBLE DE FIERRO GALVANIZADO / CON FORRO DE PVC _ 1"</t>
  </si>
  <si>
    <t>MCBT551</t>
  </si>
  <si>
    <t>TUBERIA FLEXIBLE DE FIERRO GALVANIZADO / CON FORRO DE PVC _ 2"</t>
  </si>
  <si>
    <t>MCBT552</t>
  </si>
  <si>
    <t>TUBERIA FLEXIBLE DE FIERRO GALVANIZADO / CON FORRO DE PVC _ 3/4"</t>
  </si>
  <si>
    <t>MCBT553</t>
  </si>
  <si>
    <t>UNIÓN  _ 1 1/2" EMT</t>
  </si>
  <si>
    <t>MCBT554</t>
  </si>
  <si>
    <t>UNIÓN  _ 2" EMT</t>
  </si>
  <si>
    <t>MCBT555</t>
  </si>
  <si>
    <t>UNIÓN  _ 3" EMT</t>
  </si>
  <si>
    <t>MCBT556</t>
  </si>
  <si>
    <t>UNIÓN  _ 4" EMT</t>
  </si>
  <si>
    <t>MCBT557</t>
  </si>
  <si>
    <t>UNION DE CANALETA DE 110 X 50 MM 10094RBR EFAPEL</t>
  </si>
  <si>
    <t>MCBT558</t>
  </si>
  <si>
    <t>UNIÓN DE CANALETA DE 20 X 12.5 MM EFAPHEL</t>
  </si>
  <si>
    <t>MCBT559</t>
  </si>
  <si>
    <t>UNIÓN DE CANALETA DE 50 X 20 MM LEGRAND DLP-S 638166</t>
  </si>
  <si>
    <t>MCBT560</t>
  </si>
  <si>
    <t>UNION DE PVC (LUZ) SAP _ 1 1/2"</t>
  </si>
  <si>
    <t>MCBT561</t>
  </si>
  <si>
    <t>UNION DE PVC (LUZ) SAP _ 1"</t>
  </si>
  <si>
    <t>MCBT562</t>
  </si>
  <si>
    <t>UNION DE PVC (LUZ) SAP _ 1/2"</t>
  </si>
  <si>
    <t>MCBT563</t>
  </si>
  <si>
    <t>UNION DE PVC (LUZ) SAP _ 2"</t>
  </si>
  <si>
    <t>MCBT564</t>
  </si>
  <si>
    <t>UNION DE PVC (LUZ) SAP _ 3/4"</t>
  </si>
  <si>
    <t>MCBT565</t>
  </si>
  <si>
    <t>UNIÓN MIXTA - 1 1/2" SAP</t>
  </si>
  <si>
    <t>MCBT566</t>
  </si>
  <si>
    <t>UNIÓN MIXTA - 1" SAP</t>
  </si>
  <si>
    <t>MCBT567</t>
  </si>
  <si>
    <t>UNIÓN MIXTA - 2" SAP</t>
  </si>
  <si>
    <t>MCBT568</t>
  </si>
  <si>
    <t>UNIÓN MIXTA - 3/4" SAP</t>
  </si>
  <si>
    <t>MCBT569</t>
  </si>
  <si>
    <t>UNIÓN_ 1" EMT</t>
  </si>
  <si>
    <t>MCBT570</t>
  </si>
  <si>
    <t>UNIÓN_ 3/4" EMT</t>
  </si>
  <si>
    <t>MCBT571</t>
  </si>
  <si>
    <t>VARILLA DE COBRE ELECTROLITICO P/ LINEA A TIERRA DE 3/4" X 2.40 M</t>
  </si>
  <si>
    <t>MCBT572</t>
  </si>
  <si>
    <t>VENTILADOR - SCHNEIDER - MODELO NSYCVF85M230PF / 50 A 60 HZ /0.121/0.097/17-15WATTS</t>
  </si>
  <si>
    <t>MCBT573</t>
  </si>
  <si>
    <t>AUDITORIAS ENERGÉTICAS SEGÚN ANEXO 9.</t>
  </si>
  <si>
    <t>SEDE</t>
  </si>
  <si>
    <t>MCBT574</t>
  </si>
  <si>
    <t>SERVIDOR IHOST-HUB -ZIGBEE 3,0, MARCA SONOFF - PUERTA DE ENLACE AIBRIDGE, SERVIDOR DE HOST LOCAL Y ALMACENAMIENTO DE DATOS, WIFI, LAN, CONTROL DE ESCENA - 4GB</t>
  </si>
  <si>
    <t>MCBT575</t>
  </si>
  <si>
    <t>INTERRUPTOR DE PARED NSPANEL, MARCA - SONOFF - PANEL DE CONTROL TODO EN UNO HMI, FUNCIONA CON ALEXA, GOOGLE HOME, SIRI, ALICE</t>
  </si>
  <si>
    <t>MCBT576</t>
  </si>
  <si>
    <t>WAVLINK-REPET_WIFI INALÁMB_ALTA POTEN_EXTERIORES_POE, N300 /2,4 HIGH POWER</t>
  </si>
  <si>
    <t>MCBT577</t>
  </si>
  <si>
    <t>WAVLINK-REPET_WIFI INALÁMB_ALTA POTEN _EXTERIORES_POE, AC600/2,5 HIGH POWER</t>
  </si>
  <si>
    <t>MCBT578</t>
  </si>
  <si>
    <t>WAVLINK-REPET_WIFI INALÁMB_ALTA POTEN _EXTERIORES_ POE, AC1200/2,6</t>
  </si>
  <si>
    <t>MCBT579</t>
  </si>
  <si>
    <t>REPETIDOR WIFI DE 1200MBPS, AMPLIFICADOR INALÁMBRICO DE BANDA DUAL, RED DE 2,4G Y 5GHZ, AMPLIFICADOR DE SEÑAL DE LARGO ALCANCE PARA EL HOGAR Y LA OFICINA</t>
  </si>
  <si>
    <t>MCBT580</t>
  </si>
  <si>
    <t>SONOFF-MINIR4M INTERRUPTOR INTELIGENTE WIFI, MINIMÓDULO DE AUTOMATIZACIÓN, RELÉ DE CONEXIÓN LOCAL, FUNCIONA CON ALEXA, GOOGLE HOME, EWELINK</t>
  </si>
  <si>
    <t>MCBT581</t>
  </si>
  <si>
    <t>SONOFF TH ELITE-INTERRUPTOR INTELIGENTE, DISPOSITIVO DE CONTROL INTELIGENTE DE TEMPERATURA Y HUMEDAD CON PANTALLA LCD, MODO AUTOMÁTICO 20A</t>
  </si>
  <si>
    <t>MCBT582</t>
  </si>
  <si>
    <t>SONOFF-INTERRUPTOR DE MEDIDOR DE POTENCIA INTELIGENTE, DISPOSITIVO CON WIFI, PANTALLA LCD, FUNCIONA CON LA APLICACIÓN EWELINK, ALEXA Y GOOGLE HOME, POW ELITE, 20A</t>
  </si>
  <si>
    <t>MCBT583</t>
  </si>
  <si>
    <t>EWELINK-CÁMARA INTELIGENTE IMPERMEABLE IP66, INTERCOMUNICADOR DE AUDIO BIDIRECCIONAL, VISIÓN NOCTURNA, IR, LED, 1080P, PARA EXTERIORES</t>
  </si>
  <si>
    <t>MCBT584</t>
  </si>
  <si>
    <t>SONOFF-MEDIDOR DE POTENCIA APILABLE SPM-MAIN/MONITOREO DE CONSUMO DE ENERGÍA A TRAVÉS DE LA VERIFICACIÓN DE LA APLICACIÓN EWELINK</t>
  </si>
  <si>
    <t>MCBT585</t>
  </si>
  <si>
    <t>SONOFF-MEDIDOR DE POTENCIA APILABLE SPM-MAIN/4 RELÉS, 20A/GANG, PROTECCIÓN CONTRA SOBRECARGA, MONITOREO DE CONSUMO DE ENERGÍA A TRAVÉS DE LA VERIFICACIÓN DE LA APLICACIÓN EWELINK</t>
  </si>
  <si>
    <t>MCBT586</t>
  </si>
  <si>
    <t>MISOL-ESTACIÓN METEOROLÓGICA INALÁMBRICA, DISPOSITIVO CON CONEXIÓN WIFI, CARGA DE DATOS A LA WEB (WUNDERGROUND), HP2550-1</t>
  </si>
  <si>
    <t>MCBT587</t>
  </si>
  <si>
    <t>SONOFF SNZB-06P SENSOR DE PRESENCIA ZIGBEE</t>
  </si>
  <si>
    <t>MCBT588</t>
  </si>
  <si>
    <t>ZIGBEE-DETECTOR DE PRESENCIA HUMANA MMWAVE, RADAR CON SENSOR DE MOVIMIENTO, 220V/110V, 5,8G/24G, RELÉ LUX, DETECCIÓN DE LUZ/DISTANCIA, TUYA SMART LIFE</t>
  </si>
  <si>
    <t>MCBT589</t>
  </si>
  <si>
    <t xml:space="preserve">ALQUILER ANDAMIO CERTIFICADO DE 2 CUERPOS </t>
  </si>
  <si>
    <t>DIA</t>
  </si>
  <si>
    <t>MCBT590</t>
  </si>
  <si>
    <t xml:space="preserve">ALQUILER ANDAMIO CERTIFICADO DE 3 CUERPOS </t>
  </si>
  <si>
    <t>MCBT591</t>
  </si>
  <si>
    <t xml:space="preserve">ALQUILER ANDAMIO CERTIFICADO DE 4 CUERPOS </t>
  </si>
  <si>
    <t>MCBT592</t>
  </si>
  <si>
    <t>Servicios auxiliares NO reccurrentes IIEE BAJA TENSIÓN</t>
  </si>
  <si>
    <t>MCBT593</t>
  </si>
  <si>
    <t>Repuestos auxiliares NO reccurrentes IIEE BAJA TENSIÓN</t>
  </si>
  <si>
    <t>Viaticos correctivos Baja Tensión</t>
  </si>
  <si>
    <t>VTBT01</t>
  </si>
  <si>
    <t>VIATICO CORRECTIVO LIMA ( CAÑETE, MALA) - ALIMENTACIÓN, HOSPEDAJE Y PASAJE I/V TERRESTRE</t>
  </si>
  <si>
    <t>POR PERSONA</t>
  </si>
  <si>
    <t>VTBT02</t>
  </si>
  <si>
    <t>VIATICO CORRECTIVO SUR CHICO ( ASIA) - ALIMENTACIÓN, HOSPEDAJE Y PASAJE I/V TERRESTRE</t>
  </si>
  <si>
    <t>VTBT03</t>
  </si>
  <si>
    <t>VIATICO CORRECTIVO CENTRO ( HUANCAYO) - ALIMENTACIÓN, HOSPEDAJE Y PASAJE I/V TERRESTRE</t>
  </si>
  <si>
    <t>VTBT04</t>
  </si>
  <si>
    <t>VIATICO CORRECTIVO NORTE ( CAJAMARCA) - ALIMENTACIÓN, HOSPEDAJE Y PASAJE I/V TERRESTRE</t>
  </si>
  <si>
    <t>VTBT05</t>
  </si>
  <si>
    <t>VIATICO CORRECTIVO NORTE ( TRUJILLO) - ALIMENTACIÓN, HOSPEDAJE Y PASAJE I/V TERRESTRE</t>
  </si>
  <si>
    <t>VTBT06</t>
  </si>
  <si>
    <t>VIATICO CORRECTIVO NORTE ( CHICLAYO) - ALIMENTACIÓN, HOSPEDAJE Y PASAJE I/V TERRESTRE</t>
  </si>
  <si>
    <t>VTBT07</t>
  </si>
  <si>
    <t>VIATICO CORRECTIVO NORTE ( CHIMBOTE) - ALIMENTACIÓN, HOSPEDAJE Y PASAJE I/V TERRESTRE</t>
  </si>
  <si>
    <t>VTBT08</t>
  </si>
  <si>
    <t>VIATICO CORRECTIVO NORTE ( PIURA) - ALIMENTACIÓN, HOSPEDAJE Y PASAJE I/V TERRESTRE</t>
  </si>
  <si>
    <t>VTBT09</t>
  </si>
  <si>
    <t>VIATICO CORRECTIVO NORTE ( JAÉN) - ALIMENTACIÓN, HOSPEDAJE Y PASAJE I/V TERRESTRE</t>
  </si>
  <si>
    <t>VTBT10</t>
  </si>
  <si>
    <t>VIATICO CORRECTIVO NORTE ( PAITA) - ALIMENTACIÓN, HOSPEDAJE Y PASAJE I/V TERRESTRE</t>
  </si>
  <si>
    <t>VTBT11</t>
  </si>
  <si>
    <t>VIATICO CORRECTIVO NORTE ( SULLANA) - ALIMENTACIÓN, HOSPEDAJE Y PASAJE I/V TERRESTRE</t>
  </si>
  <si>
    <t>VTBT12</t>
  </si>
  <si>
    <t>VIATICO CORRECTIVO NORTE ( TALARA) - ALIMENTACIÓN, HOSPEDAJE Y PASAJE I/V TERRESTRE</t>
  </si>
  <si>
    <t>VTBT13</t>
  </si>
  <si>
    <t>VIATICO CORRECTIVO NORTE ( TUMBES) - ALIMENTACIÓN, HOSPEDAJE Y PASAJE I/V TERRESTRE</t>
  </si>
  <si>
    <t>VTBT14</t>
  </si>
  <si>
    <t>VIATICO CORRECTIVO NORTE CHICO ( BARRANCA) - ALIMENTACIÓN, HOSPEDAJE Y PASAJE I/V TERRESTRE</t>
  </si>
  <si>
    <t>VTBT15</t>
  </si>
  <si>
    <t>VIATICO CORRECTIVO NORTE CHICO ( HUACHO) - ALIMENTACIÓN, HOSPEDAJE Y PASAJE I/V TERRESTRE</t>
  </si>
  <si>
    <t>VTBT16</t>
  </si>
  <si>
    <t>VIATICO CORRECTIVO NORTE CHICO ( HUARAL) - ALIMENTACIÓN, HOSPEDAJE Y PASAJE I/V TERRESTRE</t>
  </si>
  <si>
    <t>VTBT17</t>
  </si>
  <si>
    <t>VIATICO CORRECTIVO ORIENTE ( HUÁNUCO) - ALIMENTACIÓN, HOSPEDAJE Y PASAJE I/V TERRESTRE</t>
  </si>
  <si>
    <t>VTBT18</t>
  </si>
  <si>
    <t>VIATICO CORRECTIVO ORIENTE ( PUCALLPA) - ALIMENTACIÓN, HOSPEDAJE Y PASAJE I/V TERRESTRE</t>
  </si>
  <si>
    <t>VTBT19</t>
  </si>
  <si>
    <t>VIATICO CORRECTIVO ORIENTE ( TARAPOTO) - ALIMENTACIÓN, HOSPEDAJE Y PASAJE I/V TERRESTRE</t>
  </si>
  <si>
    <t>VTBT20</t>
  </si>
  <si>
    <t>VIATICO CORRECTIVO SUR ( AREQUIPA) - ALIMENTACIÓN, HOSPEDAJE Y PASAJE I/V TERRESTRE</t>
  </si>
  <si>
    <t>VTBT21</t>
  </si>
  <si>
    <t>VIATICO CORRECTIVO SUR ( CUSCO) - ALIMENTACIÓN, HOSPEDAJE Y PASAJE I/V TERRESTRE</t>
  </si>
  <si>
    <t>VTBT22</t>
  </si>
  <si>
    <t>VIATICO CORRECTIVO SUR ( ILO) - ALIMENTACIÓN, HOSPEDAJE Y PASAJE I/V TERRESTRE</t>
  </si>
  <si>
    <t>VTBT23</t>
  </si>
  <si>
    <t>VIATICO CORRECTIVO SUR ( JULIACA) - ALIMENTACIÓN, HOSPEDAJE Y PASAJE I/V TERRESTRE</t>
  </si>
  <si>
    <t>VTBT24</t>
  </si>
  <si>
    <t>VIATICO CORRECTIVO SUR ( MOQUEGUA) - ALIMENTACIÓN, HOSPEDAJE Y PASAJE I/V TERRESTRE</t>
  </si>
  <si>
    <t>VTBT25</t>
  </si>
  <si>
    <t>VIATICO CORRECTIVO SUR ( PUNO) - ALIMENTACIÓN, HOSPEDAJE Y PASAJE I/V TERRESTRE</t>
  </si>
  <si>
    <t>VTBT26</t>
  </si>
  <si>
    <t>VIATICO CORRECTIVO SUR ( TACNA) - ALIMENTACIÓN, HOSPEDAJE Y PASAJE I/V TERRESTRE</t>
  </si>
  <si>
    <t>VTBT27</t>
  </si>
  <si>
    <t>VIATICO CORRECTIVO SUR CHICO ( CHINCHA) - ALIMENTACIÓN, HOSPEDAJE Y PASAJE I/V TERRESTRE</t>
  </si>
  <si>
    <t>VTBT28</t>
  </si>
  <si>
    <t>VIATICO CORRECTIVO SUR CHICO ( ICA) - ALIMENTACIÓN, HOSPEDAJE Y PASAJE I/V TERRESTRE</t>
  </si>
  <si>
    <t>VTBT29</t>
  </si>
  <si>
    <t>VIATICO CORRECTIVO SUR CHICO ( PISCO) - ALIMENTACIÓN, HOSPEDAJE Y PASAJE I/V TERRESTRE</t>
  </si>
  <si>
    <t>VABT01</t>
  </si>
  <si>
    <t>VIATICO CORRECTIVO NORTE ( CAJAMARCA) - ALIMENTACIÓN, HOSPEDAJE Y PASAJE I/V AÉREO</t>
  </si>
  <si>
    <t>VABT02</t>
  </si>
  <si>
    <t>VIATICO CORRECTIVO NORTE ( TRUJILLO) - ALIMENTACIÓN, HOSPEDAJE Y PASAJE I/V AÉREO</t>
  </si>
  <si>
    <t>VABT03</t>
  </si>
  <si>
    <t>VIATICO CORRECTIVO NORTE ( CHICLAYO) - ALIMENTACIÓN, HOSPEDAJE Y PASAJE I/V AÉREO</t>
  </si>
  <si>
    <t>VABT04</t>
  </si>
  <si>
    <t>VIATICO CORRECTIVO NORTE ( CHIMBOTE) - ALIMENTACIÓN, HOSPEDAJE Y PASAJE I/V AÉREO</t>
  </si>
  <si>
    <t>VABT05</t>
  </si>
  <si>
    <t>VIATICO CORRECTIVO NORTE ( PIURA) - ALIMENTACIÓN, HOSPEDAJE Y PASAJE I/V AÉREO</t>
  </si>
  <si>
    <t>VABT06</t>
  </si>
  <si>
    <t>VIATICO CORRECTIVO NORTE ( JAÉN) - ALIMENTACIÓN, HOSPEDAJE Y PASAJE I/V AÉREO</t>
  </si>
  <si>
    <t>VABT07</t>
  </si>
  <si>
    <t>VIATICO CORRECTIVO NORTE ( PAITA) - ALIMENTACIÓN, HOSPEDAJE Y PASAJE I/V AÉREO</t>
  </si>
  <si>
    <t>VABT08</t>
  </si>
  <si>
    <t>VIATICO CORRECTIVO NORTE ( SULLANA) - ALIMENTACIÓN, HOSPEDAJE Y PASAJE I/V AÉREO</t>
  </si>
  <si>
    <t>VABT09</t>
  </si>
  <si>
    <t>VIATICO CORRECTIVO NORTE ( TALARA) - ALIMENTACIÓN, HOSPEDAJE Y PASAJE I/V AÉREO</t>
  </si>
  <si>
    <t>VABT10</t>
  </si>
  <si>
    <t>VIATICO CORRECTIVO NORTE ( TUMBES) - ALIMENTACIÓN, HOSPEDAJE Y PASAJE I/V AÉREO</t>
  </si>
  <si>
    <t>VABT11</t>
  </si>
  <si>
    <t>VIATICO CORRECTIVO ORIENTE ( HUÁNUCO) - ALIMENTACIÓN, HOSPEDAJE Y PASAJE I/V AÉREO</t>
  </si>
  <si>
    <t>VABT12</t>
  </si>
  <si>
    <t>VIATICO CORRECTIVO ORIENTE ( PUCALLPA) - ALIMENTACIÓN, HOSPEDAJE Y PASAJE I/V AÉREO</t>
  </si>
  <si>
    <t>VABT13</t>
  </si>
  <si>
    <t>VIATICO CORRECTIVO ORIENTE ( TARAPOTO) - ALIMENTACIÓN, HOSPEDAJE Y PASAJE I/V AÉREO</t>
  </si>
  <si>
    <t>VABT14</t>
  </si>
  <si>
    <t>VIATICO CORRECTIVO SUR ( AREQUIPA) - ALIMENTACIÓN, HOSPEDAJE Y PASAJE I/V AÉREO</t>
  </si>
  <si>
    <t>VABT15</t>
  </si>
  <si>
    <t>VIATICO CORRECTIVO SUR ( CUSCO) - ALIMENTACIÓN, HOSPEDAJE Y PASAJE I/V AÉREO</t>
  </si>
  <si>
    <t>VABT16</t>
  </si>
  <si>
    <t>VIATICO CORRECTIVO SUR ( ILO) - ALIMENTACIÓN, HOSPEDAJE Y PASAJE I/V AÉREO</t>
  </si>
  <si>
    <t>VABT17</t>
  </si>
  <si>
    <t>VIATICO CORRECTIVO SUR ( JULIACA) - ALIMENTACIÓN, HOSPEDAJE Y PASAJE I/V AÉREO</t>
  </si>
  <si>
    <t>VABT18</t>
  </si>
  <si>
    <t>VIATICO CORRECTIVO SUR ( MOQUEGUA) - ALIMENTACIÓN, HOSPEDAJE Y PASAJE I/V AÉREO</t>
  </si>
  <si>
    <t>VABT19</t>
  </si>
  <si>
    <t>VIATICO CORRECTIVO SUR ( PUNO) - ALIMENTACIÓN, HOSPEDAJE Y PASAJE I/V AÉREO</t>
  </si>
  <si>
    <t>VABT20</t>
  </si>
  <si>
    <t>VIATICO CORRECTIVO SUR ( TACNA) - ALIMENTACIÓN, HOSPEDAJE Y PASAJE I/V AÉREO</t>
  </si>
  <si>
    <t>VABT21</t>
  </si>
  <si>
    <t>VIATICO CORRECTIVO DIA ADICIONAL (ALOJAMIENTO Y HOSPEDAJE)</t>
  </si>
  <si>
    <t>POR PERSONA X DIA</t>
  </si>
  <si>
    <t>FORMATO</t>
  </si>
  <si>
    <t>CECO</t>
  </si>
  <si>
    <t>SOCIEDAD</t>
  </si>
  <si>
    <t>RUBRO</t>
  </si>
  <si>
    <t>Jockey Plaza - PVH</t>
  </si>
  <si>
    <t>PVH</t>
  </si>
  <si>
    <t>A125</t>
  </si>
  <si>
    <t>Grupos electrógenos</t>
  </si>
  <si>
    <t>Higuereta - PVH</t>
  </si>
  <si>
    <t>PVO</t>
  </si>
  <si>
    <t>Brasil - PVH</t>
  </si>
  <si>
    <t>II.EE. Media Tensión</t>
  </si>
  <si>
    <t>PVS</t>
  </si>
  <si>
    <t>Cortijo - PVH</t>
  </si>
  <si>
    <t>UPS</t>
  </si>
  <si>
    <t>PVE</t>
  </si>
  <si>
    <t>Callao - PVH</t>
  </si>
  <si>
    <t>Sistema Contraincendios</t>
  </si>
  <si>
    <t>VV</t>
  </si>
  <si>
    <t>Ate - PVH</t>
  </si>
  <si>
    <t>Extintores</t>
  </si>
  <si>
    <t>MK</t>
  </si>
  <si>
    <t>Bolichera - PVH</t>
  </si>
  <si>
    <t>Puertas cortafuegos</t>
  </si>
  <si>
    <t>JKR</t>
  </si>
  <si>
    <t>Risso - PVH</t>
  </si>
  <si>
    <t>ALM.</t>
  </si>
  <si>
    <t>Los Olivos - PVH</t>
  </si>
  <si>
    <t>OFIC.</t>
  </si>
  <si>
    <t>Comas - PVH</t>
  </si>
  <si>
    <t>Trujillo - PVH</t>
  </si>
  <si>
    <t>Chiclayo - PVH</t>
  </si>
  <si>
    <t>Arequipa - PVH</t>
  </si>
  <si>
    <t>Ceres - PVH</t>
  </si>
  <si>
    <t>Pro - PVH</t>
  </si>
  <si>
    <t>Huancayo - PVH</t>
  </si>
  <si>
    <t>Izaguirre - PVH</t>
  </si>
  <si>
    <t>Alfonso Ugarte - PVH</t>
  </si>
  <si>
    <t>Universitaria - PVH</t>
  </si>
  <si>
    <t>Puente Piedra - PVH</t>
  </si>
  <si>
    <t>SJ Lurigancho - PVH</t>
  </si>
  <si>
    <t>Ica - PVH</t>
  </si>
  <si>
    <t>El Chacarero - PVH</t>
  </si>
  <si>
    <t>Santa Clara - PVH</t>
  </si>
  <si>
    <t>Colonial - PVH</t>
  </si>
  <si>
    <t>Centro Civico - PVH</t>
  </si>
  <si>
    <t>Chimbote - PVH</t>
  </si>
  <si>
    <t>Chosica - PVH</t>
  </si>
  <si>
    <t>Chincha - PVH</t>
  </si>
  <si>
    <t>Piura - PVH</t>
  </si>
  <si>
    <t>Huacho - PVH</t>
  </si>
  <si>
    <t>Nvo Chimbote - PVH</t>
  </si>
  <si>
    <t>Tacna - PVH</t>
  </si>
  <si>
    <t>Juliaca - PVH</t>
  </si>
  <si>
    <t>Guardia Civil - PVH</t>
  </si>
  <si>
    <t>LurIn - PVH</t>
  </si>
  <si>
    <t>Talara - PVH</t>
  </si>
  <si>
    <t>Puno - PVH</t>
  </si>
  <si>
    <t>San Borja - PVH</t>
  </si>
  <si>
    <t>Acho - PVH</t>
  </si>
  <si>
    <t>Huanuco - PVO</t>
  </si>
  <si>
    <t>A122</t>
  </si>
  <si>
    <t>Rimac Alcazar - PVH</t>
  </si>
  <si>
    <t>Huaral - PVH</t>
  </si>
  <si>
    <t>Sullana - PVH</t>
  </si>
  <si>
    <t>San Isidro - PVH</t>
  </si>
  <si>
    <t>Salaverry - PVH</t>
  </si>
  <si>
    <t>Paita - PVH</t>
  </si>
  <si>
    <t>Cusco Mall - PVH</t>
  </si>
  <si>
    <t>Barranca - PVH</t>
  </si>
  <si>
    <t>Cajamarca - PVH</t>
  </si>
  <si>
    <t>Brena - PVH</t>
  </si>
  <si>
    <t>Ventanilla - PVH</t>
  </si>
  <si>
    <t>Valle Hermoso - PVH</t>
  </si>
  <si>
    <t>La Molina - PVH</t>
  </si>
  <si>
    <t>Pucallpa - PVO</t>
  </si>
  <si>
    <t>Grifo Mexico - PVH</t>
  </si>
  <si>
    <t>Pisco - PVH</t>
  </si>
  <si>
    <t>Jaen - PVO</t>
  </si>
  <si>
    <t>Moquegua - PVH</t>
  </si>
  <si>
    <t>Talara Municipalidad - PVH</t>
  </si>
  <si>
    <t>El Agustino - PVH</t>
  </si>
  <si>
    <t>Armado de canastas</t>
  </si>
  <si>
    <t>La Curva - PVH</t>
  </si>
  <si>
    <t>Ves Placita - PVH</t>
  </si>
  <si>
    <t>Sucre - PVH</t>
  </si>
  <si>
    <t>Tarapoto - PVO</t>
  </si>
  <si>
    <t>Ilo - PVH</t>
  </si>
  <si>
    <t>Puruchuco - PVH</t>
  </si>
  <si>
    <t>Chiclayo Aventura - PVH</t>
  </si>
  <si>
    <t>Miraflores - PVH</t>
  </si>
  <si>
    <t>Caminos del Inca - PVS</t>
  </si>
  <si>
    <t>Art Express - PVS</t>
  </si>
  <si>
    <t>El Ejercito - PVS</t>
  </si>
  <si>
    <t>Salamanca - PVS</t>
  </si>
  <si>
    <t>Ayacucho - PVS</t>
  </si>
  <si>
    <t>Corpac - PVS</t>
  </si>
  <si>
    <t>Dasso - PVS</t>
  </si>
  <si>
    <t>San Jorge - PVS</t>
  </si>
  <si>
    <t>Alameda Sur - PVS</t>
  </si>
  <si>
    <t>El Tambo Huancayo - PVS</t>
  </si>
  <si>
    <t>Villa el Salvador - PVS</t>
  </si>
  <si>
    <t>Multiplaza - PVS</t>
  </si>
  <si>
    <t>Trujillo Mansiche - PVS</t>
  </si>
  <si>
    <t>Chorrillos Iglesias - PVS</t>
  </si>
  <si>
    <t>Magdalena - PVS</t>
  </si>
  <si>
    <t>Cine Rimac - PVS</t>
  </si>
  <si>
    <t>Grifo Kio - PVS</t>
  </si>
  <si>
    <t>La Paz - PVS</t>
  </si>
  <si>
    <t>Villa Marina - PVS</t>
  </si>
  <si>
    <t>Proceres - PVS</t>
  </si>
  <si>
    <t>La Victoria PVS</t>
  </si>
  <si>
    <t>La Perla - PVS</t>
  </si>
  <si>
    <t>Trujillo Valcarcel - PVS</t>
  </si>
  <si>
    <t>Chaclacayo - PVS</t>
  </si>
  <si>
    <t>Bolognesi - PVE</t>
  </si>
  <si>
    <t>Santa Cruz - PVE</t>
  </si>
  <si>
    <t>Supermercados SKA - PVE</t>
  </si>
  <si>
    <t>Centro Trujillo - PVE</t>
  </si>
  <si>
    <t>Jiron de la Union - PVE</t>
  </si>
  <si>
    <t>San Miguel - PVH</t>
  </si>
  <si>
    <t>Cusco Wanchaq - PVH</t>
  </si>
  <si>
    <t>Mercaderes - PVS</t>
  </si>
  <si>
    <t>Primavera - PVH</t>
  </si>
  <si>
    <t>Aventura SJL - PVH</t>
  </si>
  <si>
    <t>Pezet - VIV</t>
  </si>
  <si>
    <t>Benavides - VIV</t>
  </si>
  <si>
    <t>Dos de Mayo - VIV</t>
  </si>
  <si>
    <t>Monterrico - VIV</t>
  </si>
  <si>
    <t>Javier Prado - VIV</t>
  </si>
  <si>
    <t>Libertadores - VIV</t>
  </si>
  <si>
    <t>Asia - VIV</t>
  </si>
  <si>
    <t>Destinos del Sabor - VIV</t>
  </si>
  <si>
    <t>Pardo - VIV</t>
  </si>
  <si>
    <t>Zarate 2 - MK</t>
  </si>
  <si>
    <t>A124</t>
  </si>
  <si>
    <t>Cusco - MK</t>
  </si>
  <si>
    <t>Piura 2 - MK</t>
  </si>
  <si>
    <t>Arequipa 2 - MK</t>
  </si>
  <si>
    <t>Sullana - MK</t>
  </si>
  <si>
    <t>Independencia - MK</t>
  </si>
  <si>
    <t>Callao - MK</t>
  </si>
  <si>
    <t>Santa Anita - MK</t>
  </si>
  <si>
    <t>Surco - MK</t>
  </si>
  <si>
    <t>Arequipa - MK</t>
  </si>
  <si>
    <t>Chiclayo - MK</t>
  </si>
  <si>
    <t>Zarate - MK</t>
  </si>
  <si>
    <t>Trujillo - MK</t>
  </si>
  <si>
    <t>Piura - MK</t>
  </si>
  <si>
    <t>Comas - MK</t>
  </si>
  <si>
    <t>Villa El Salvador - MK</t>
  </si>
  <si>
    <t>Huancayo - MK</t>
  </si>
  <si>
    <t>Chincha - MK</t>
  </si>
  <si>
    <t>Ica - MK</t>
  </si>
  <si>
    <t>Huacho - MK</t>
  </si>
  <si>
    <t>Trujillo 2 - MK</t>
  </si>
  <si>
    <t>Cercado - MK</t>
  </si>
  <si>
    <t>Chorrillos - MK</t>
  </si>
  <si>
    <t>Chimbote - MK</t>
  </si>
  <si>
    <t>Cañete - MK</t>
  </si>
  <si>
    <t>SMP - MK</t>
  </si>
  <si>
    <t>SJM - MK</t>
  </si>
  <si>
    <t>HO (Oficina Central) - MK</t>
  </si>
  <si>
    <t>Cusco - MK (Centro Comercial)</t>
  </si>
  <si>
    <t xml:space="preserve">HUB 001 Miraflores </t>
  </si>
  <si>
    <t>A128</t>
  </si>
  <si>
    <t xml:space="preserve">HUB 002 Surco / Jorge Chavez </t>
  </si>
  <si>
    <t xml:space="preserve">HUB 004 Lince </t>
  </si>
  <si>
    <t xml:space="preserve">HUB 005 Surco / Benavides </t>
  </si>
  <si>
    <t xml:space="preserve">HUB 006 Pueblo Libre </t>
  </si>
  <si>
    <t>HUB 007 Surco / Primavera</t>
  </si>
  <si>
    <t xml:space="preserve">HUB 009 San Luis </t>
  </si>
  <si>
    <t xml:space="preserve">HUB 011 Punta Hermosa </t>
  </si>
  <si>
    <t>HUB 013  Surquillo</t>
  </si>
  <si>
    <t>Alm. Santa Rosa</t>
  </si>
  <si>
    <t>Oficinas Morelli</t>
  </si>
  <si>
    <t>A129</t>
  </si>
  <si>
    <t>INFORME DE CIERRE CONTABLE COORDINADOR DE MANTENIMIENTO</t>
  </si>
  <si>
    <t>N° Orden Mantto</t>
  </si>
  <si>
    <t>N° Solicitud</t>
  </si>
  <si>
    <t>N° Solped</t>
  </si>
  <si>
    <t>N° Pedido</t>
  </si>
  <si>
    <t>N° MIGO</t>
  </si>
  <si>
    <t>Subtotal S/.</t>
  </si>
  <si>
    <t>JOEL VIERA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</si>
</sst>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S/&quot;\ * #,##0.00_-;\-&quot;S/&quot;\ * #,##0.00_-;_-&quot;S/&quot;\ * &quot;-&quot;??_-;_-@_-"/>
    <numFmt numFmtId="164" formatCode="_(&quot;S/&quot;* #,##0.00_);_(&quot;S/&quot;* \(#,##0.00\);_(&quot;S/&quot;* &quot;-&quot;??_);_(@_)"/>
    <numFmt numFmtId="165" formatCode="_(&quot;S/&quot;* #,##0.0_);_(&quot;S/&quot;* \(#,##0.0\);_(&quot;S/&quot;* &quot;-&quot;??_);_(@_)"/>
    <numFmt numFmtId="166" formatCode="&quot;S/&quot;#,##0.00"/>
  </numFmts>
  <fonts count="28">
    <font>
      <sz val="11"/>
      <color theme="1"/>
      <name val="Calibri"/>
      <scheme val="minor"/>
    </font>
    <font>
      <b/>
      <sz val="12"/>
      <color theme="0"/>
      <name val="Calibri"/>
    </font>
    <font>
      <sz val="1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rgb="FF0000FF"/>
      <name val="Calibri"/>
    </font>
    <font>
      <sz val="9"/>
      <color theme="1"/>
      <name val="Calibri"/>
    </font>
    <font>
      <sz val="8"/>
      <color theme="1"/>
      <name val="Calibri"/>
    </font>
    <font>
      <b/>
      <sz val="8"/>
      <color rgb="FFFF0000"/>
      <name val="Calibri"/>
    </font>
    <font>
      <b/>
      <sz val="11"/>
      <color theme="0"/>
      <name val="Calibri"/>
    </font>
    <font>
      <sz val="10"/>
      <color theme="1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theme="1"/>
      <name val="Arial"/>
    </font>
    <font>
      <sz val="11"/>
      <color rgb="FF00B050"/>
      <name val="Arial"/>
    </font>
    <font>
      <sz val="8"/>
      <color rgb="FFFF0000"/>
      <name val="Calibri"/>
    </font>
    <font>
      <b/>
      <sz val="8"/>
      <color theme="0"/>
      <name val="Calibri"/>
    </font>
    <font>
      <b/>
      <sz val="9"/>
      <color theme="1"/>
      <name val="Calibri"/>
    </font>
    <font>
      <b/>
      <sz val="9"/>
      <color rgb="FFC00000"/>
      <name val="Calibri"/>
    </font>
    <font>
      <sz val="9"/>
      <color rgb="FF0000FF"/>
      <name val="Calibri"/>
    </font>
    <font>
      <b/>
      <sz val="8"/>
      <color theme="1"/>
      <name val="Calibri"/>
    </font>
    <font>
      <sz val="8"/>
      <color rgb="FF000000"/>
      <name val="Calibri"/>
    </font>
    <font>
      <sz val="11"/>
      <color theme="1"/>
      <name val="Calibri"/>
      <scheme val="minor"/>
    </font>
    <font>
      <b/>
      <sz val="8"/>
      <color rgb="FFFFFFFF"/>
      <name val="Calibri"/>
    </font>
    <font>
      <b/>
      <sz val="11"/>
      <color theme="1"/>
      <name val="Arial"/>
    </font>
    <font>
      <b/>
      <sz val="11"/>
      <color rgb="FFFF0000"/>
      <name val="Calibri"/>
    </font>
    <font>
      <sz val="8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rgb="FFF7FFFF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44" fontId="23" fillId="0" borderId="0" applyFont="0" applyFill="0" applyBorder="0" applyAlignment="0" applyProtection="0"/>
  </cellStyleXfs>
  <cellXfs count="117">
    <xf numFmtId="0" fontId="0" fillId="0" borderId="0" xfId="0"/>
    <xf numFmtId="16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0" xfId="0" applyFont="1"/>
    <xf numFmtId="0" fontId="3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164" fontId="4" fillId="3" borderId="4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3" borderId="5" xfId="0" applyFont="1" applyFill="1" applyBorder="1" applyAlignment="1">
      <alignment horizontal="left" vertical="center"/>
    </xf>
    <xf numFmtId="0" fontId="5" fillId="0" borderId="0" xfId="0" applyFont="1" applyAlignment="1">
      <alignment horizontal="right"/>
    </xf>
    <xf numFmtId="0" fontId="6" fillId="3" borderId="6" xfId="0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left"/>
    </xf>
    <xf numFmtId="0" fontId="5" fillId="3" borderId="6" xfId="0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1" fontId="5" fillId="3" borderId="4" xfId="0" applyNumberFormat="1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center"/>
    </xf>
    <xf numFmtId="14" fontId="6" fillId="3" borderId="4" xfId="0" applyNumberFormat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 wrapText="1"/>
    </xf>
    <xf numFmtId="164" fontId="5" fillId="0" borderId="0" xfId="0" applyNumberFormat="1" applyFont="1"/>
    <xf numFmtId="14" fontId="3" fillId="3" borderId="6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/>
    </xf>
    <xf numFmtId="14" fontId="3" fillId="3" borderId="6" xfId="0" applyNumberFormat="1" applyFont="1" applyFill="1" applyBorder="1" applyAlignment="1">
      <alignment horizontal="left"/>
    </xf>
    <xf numFmtId="165" fontId="5" fillId="4" borderId="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/>
    <xf numFmtId="0" fontId="3" fillId="0" borderId="0" xfId="0" applyFont="1" applyAlignment="1">
      <alignment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164" fontId="10" fillId="2" borderId="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/>
    <xf numFmtId="0" fontId="14" fillId="0" borderId="0" xfId="0" applyFont="1" applyAlignment="1">
      <alignment wrapText="1"/>
    </xf>
    <xf numFmtId="0" fontId="15" fillId="0" borderId="0" xfId="0" applyFont="1"/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/>
    </xf>
    <xf numFmtId="0" fontId="17" fillId="5" borderId="8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1" fillId="8" borderId="9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center" vertical="center"/>
    </xf>
    <xf numFmtId="0" fontId="22" fillId="0" borderId="12" xfId="0" applyFont="1" applyBorder="1"/>
    <xf numFmtId="0" fontId="5" fillId="9" borderId="6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center"/>
    </xf>
    <xf numFmtId="0" fontId="23" fillId="0" borderId="0" xfId="0" applyFont="1"/>
    <xf numFmtId="0" fontId="24" fillId="2" borderId="6" xfId="0" applyFont="1" applyFill="1" applyBorder="1" applyAlignment="1">
      <alignment horizontal="center" vertical="center"/>
    </xf>
    <xf numFmtId="0" fontId="24" fillId="10" borderId="6" xfId="0" applyFont="1" applyFill="1" applyBorder="1" applyAlignment="1">
      <alignment horizontal="center" vertical="center"/>
    </xf>
    <xf numFmtId="0" fontId="22" fillId="0" borderId="14" xfId="0" applyFont="1" applyBorder="1"/>
    <xf numFmtId="0" fontId="24" fillId="10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right" vertical="center"/>
    </xf>
    <xf numFmtId="0" fontId="3" fillId="0" borderId="16" xfId="0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right" vertical="center"/>
    </xf>
    <xf numFmtId="0" fontId="17" fillId="5" borderId="18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166" fontId="18" fillId="0" borderId="13" xfId="0" applyNumberFormat="1" applyFont="1" applyBorder="1" applyAlignment="1">
      <alignment horizontal="center" vertical="center" wrapText="1"/>
    </xf>
    <xf numFmtId="166" fontId="7" fillId="0" borderId="13" xfId="0" applyNumberFormat="1" applyFont="1" applyBorder="1" applyAlignment="1">
      <alignment horizontal="center" vertical="center" wrapText="1"/>
    </xf>
    <xf numFmtId="166" fontId="19" fillId="0" borderId="13" xfId="0" applyNumberFormat="1" applyFont="1" applyBorder="1" applyAlignment="1">
      <alignment horizontal="center" vertical="center" wrapText="1"/>
    </xf>
    <xf numFmtId="166" fontId="18" fillId="7" borderId="13" xfId="0" applyNumberFormat="1" applyFont="1" applyFill="1" applyBorder="1" applyAlignment="1">
      <alignment horizontal="center" vertical="center" wrapText="1"/>
    </xf>
    <xf numFmtId="166" fontId="7" fillId="7" borderId="13" xfId="0" applyNumberFormat="1" applyFont="1" applyFill="1" applyBorder="1" applyAlignment="1">
      <alignment horizontal="center" vertical="center" wrapText="1"/>
    </xf>
    <xf numFmtId="166" fontId="19" fillId="7" borderId="13" xfId="0" applyNumberFormat="1" applyFont="1" applyFill="1" applyBorder="1" applyAlignment="1">
      <alignment horizontal="center" vertical="center" wrapText="1"/>
    </xf>
    <xf numFmtId="166" fontId="20" fillId="0" borderId="13" xfId="0" applyNumberFormat="1" applyFont="1" applyBorder="1" applyAlignment="1">
      <alignment horizontal="center" vertical="center" wrapText="1"/>
    </xf>
    <xf numFmtId="166" fontId="18" fillId="6" borderId="13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166" fontId="7" fillId="0" borderId="17" xfId="0" applyNumberFormat="1" applyFont="1" applyBorder="1" applyAlignment="1">
      <alignment horizontal="center" vertical="center" wrapText="1"/>
    </xf>
    <xf numFmtId="0" fontId="24" fillId="10" borderId="16" xfId="0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left" vertical="center" wrapText="1"/>
    </xf>
    <xf numFmtId="0" fontId="13" fillId="12" borderId="6" xfId="0" applyFont="1" applyFill="1" applyBorder="1" applyAlignment="1">
      <alignment horizontal="left" vertical="center" wrapText="1"/>
    </xf>
    <xf numFmtId="0" fontId="11" fillId="12" borderId="6" xfId="0" applyFont="1" applyFill="1" applyBorder="1" applyAlignment="1">
      <alignment vertical="top" wrapText="1"/>
    </xf>
    <xf numFmtId="14" fontId="13" fillId="12" borderId="6" xfId="0" applyNumberFormat="1" applyFont="1" applyFill="1" applyBorder="1" applyAlignment="1">
      <alignment horizontal="center" vertical="center" wrapText="1"/>
    </xf>
    <xf numFmtId="0" fontId="11" fillId="12" borderId="6" xfId="0" applyFont="1" applyFill="1" applyBorder="1" applyAlignment="1">
      <alignment horizontal="center" vertical="center"/>
    </xf>
    <xf numFmtId="164" fontId="13" fillId="12" borderId="6" xfId="0" applyNumberFormat="1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wrapText="1"/>
    </xf>
    <xf numFmtId="0" fontId="3" fillId="3" borderId="6" xfId="0" applyFont="1" applyFill="1" applyBorder="1" applyAlignment="1">
      <alignment horizontal="center" vertical="center" wrapText="1"/>
    </xf>
    <xf numFmtId="44" fontId="12" fillId="13" borderId="6" xfId="1" applyFont="1" applyFill="1" applyBorder="1" applyAlignment="1">
      <alignment horizontal="left" vertical="center" wrapText="1"/>
    </xf>
    <xf numFmtId="44" fontId="11" fillId="3" borderId="6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/>
    <xf numFmtId="0" fontId="25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6" formatCode="&quot;S/&quot;#,##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none"/>
      </font>
      <fill>
        <patternFill patternType="solid">
          <fgColor rgb="FF002060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3">
    <tableStyle name="Lista de Tiendas-style" pivot="0" count="3" xr9:uid="{00000000-0011-0000-FFFF-FFFF00000000}">
      <tableStyleElement type="headerRow" dxfId="24"/>
      <tableStyleElement type="firstRowStripe" dxfId="23"/>
      <tableStyleElement type="secondRowStripe" dxfId="22"/>
    </tableStyle>
    <tableStyle name="Lista de Tiendas-style 2" pivot="0" count="3" xr9:uid="{00000000-0011-0000-FFFF-FFFF01000000}">
      <tableStyleElement type="headerRow" dxfId="21"/>
      <tableStyleElement type="firstRowStripe" dxfId="20"/>
      <tableStyleElement type="secondRowStripe" dxfId="19"/>
    </tableStyle>
    <tableStyle name="Inf. Cierre SAP C.M-style" pivot="0" count="3" xr9:uid="{00000000-0011-0000-FFFF-FFFF02000000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OFI%20CUARENTENA/LIC%20MANTENIMIENTO/LICITACION%20DUCTOS/CARPETAS%20NEGOCIACION/CUADRO%20COMPARATIVO/ANEXO%20N&#176;%2009%20%201er%20analisis%20propues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TIENDAS-PRESUPUESTO (4)"/>
      <sheetName val="Data set19 a ago 20"/>
      <sheetName val="Hoja4"/>
      <sheetName val="Hoja2"/>
      <sheetName val="Hoja5"/>
      <sheetName val="TIENDAS-PRESUPUESTO (2)"/>
      <sheetName val="TIENDAS-PRESUPUESTO_(4)"/>
      <sheetName val="Data_set19_a_ago_20"/>
      <sheetName val="TIENDAS-PRESUPUESTO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EECCD2-F210-4059-93C7-7D04F57A9809}" name="Tabla4" displayName="Tabla4" ref="A3:D716" totalsRowShown="0" headerRowDxfId="13" headerRowBorderDxfId="12" tableBorderDxfId="11" totalsRowBorderDxfId="10">
  <autoFilter ref="A3:D716" xr:uid="{E1EECCD2-F210-4059-93C7-7D04F57A9809}"/>
  <tableColumns count="4">
    <tableColumn id="1" xr3:uid="{7CF58DBA-13EF-4087-BFB2-613E12E5FD41}" name="LÍNEA_x000a_SAP" dataDxfId="9"/>
    <tableColumn id="2" xr3:uid="{6F9F4763-D931-432A-89D7-94054E3871F2}" name="DESCRIPCIÓN LINEA SAP DIAR INGENIEROS IIEE BT" dataDxfId="8"/>
    <tableColumn id="3" xr3:uid="{39E95EA4-973D-4986-92D6-0778A2AEFE9A}" name="UNIDAD" dataDxfId="7"/>
    <tableColumn id="4" xr3:uid="{609D05C3-9703-42A5-BFCA-A1498A3EB414}" name="P.U.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18">
  <tableColumns count="1">
    <tableColumn id="1" xr3:uid="{00000000-0010-0000-0000-000001000000}" name="RUBRO"/>
  </tableColumns>
  <tableStyleInfo name="Lista de Tiend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L2:L16">
  <tableColumns count="1">
    <tableColumn id="1" xr3:uid="{00000000-0010-0000-0100-000001000000}" name="FORMATO"/>
  </tableColumns>
  <tableStyleInfo name="Lista de Tiendas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F95DC7-B800-46B9-B051-FB6FFEFFDD8C}" name="Tabla5" displayName="Tabla5" ref="A2:D166" totalsRowShown="0" headerRowDxfId="5" tableBorderDxfId="4">
  <autoFilter ref="A2:D166" xr:uid="{5DF95DC7-B800-46B9-B051-FB6FFEFFDD8C}"/>
  <tableColumns count="4">
    <tableColumn id="1" xr3:uid="{B94B1CDE-18A7-4700-897E-43AD4A153CC3}" name="TIENDA" dataDxfId="3"/>
    <tableColumn id="2" xr3:uid="{94616289-2E10-4E8A-A51F-6053278D2E67}" name="FORMATO" dataDxfId="2"/>
    <tableColumn id="3" xr3:uid="{6E9B8844-DF9A-438E-BF68-3AEE0CFE97BB}" name="CECO" dataDxfId="1"/>
    <tableColumn id="4" xr3:uid="{F28B8D72-C313-4409-8A0F-CCBAE64E1456}" name="SOCIEDAD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4:G29">
  <tableColumns count="6">
    <tableColumn id="1" xr3:uid="{00000000-0010-0000-0200-000001000000}" name="N° Orden Mantto"/>
    <tableColumn id="2" xr3:uid="{00000000-0010-0000-0200-000002000000}" name="N° Solicitud"/>
    <tableColumn id="3" xr3:uid="{00000000-0010-0000-0200-000003000000}" name="N° Solped"/>
    <tableColumn id="4" xr3:uid="{00000000-0010-0000-0200-000004000000}" name="N° Pedido"/>
    <tableColumn id="5" xr3:uid="{00000000-0010-0000-0200-000005000000}" name="N° MIGO"/>
    <tableColumn id="6" xr3:uid="{00000000-0010-0000-0200-000006000000}" name="Subtotal S/."/>
  </tableColumns>
  <tableStyleInfo name="Inf. Cierre SAP C.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view="pageBreakPreview" zoomScaleNormal="100" zoomScaleSheetLayoutView="100" workbookViewId="0">
      <selection activeCell="C10" sqref="C10"/>
    </sheetView>
  </sheetViews>
  <sheetFormatPr baseColWidth="10" defaultColWidth="14.44140625" defaultRowHeight="15" customHeight="1"/>
  <cols>
    <col min="1" max="1" width="5.44140625" customWidth="1"/>
    <col min="2" max="2" width="14.33203125" customWidth="1"/>
    <col min="3" max="3" width="61.88671875" customWidth="1"/>
    <col min="4" max="4" width="31" customWidth="1"/>
    <col min="5" max="5" width="17.44140625" customWidth="1"/>
    <col min="6" max="6" width="10" customWidth="1"/>
    <col min="7" max="7" width="11.88671875" customWidth="1"/>
    <col min="8" max="8" width="15.88671875" customWidth="1"/>
    <col min="9" max="26" width="11.44140625" customWidth="1"/>
  </cols>
  <sheetData>
    <row r="1" spans="1:26" ht="14.25" customHeight="1">
      <c r="A1" s="111" t="s">
        <v>0</v>
      </c>
      <c r="B1" s="112"/>
      <c r="C1" s="112"/>
      <c r="D1" s="112"/>
      <c r="E1" s="112"/>
      <c r="F1" s="113"/>
      <c r="G1" s="1" t="s">
        <v>1</v>
      </c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.75" customHeight="1">
      <c r="A2" s="4"/>
      <c r="B2" s="5"/>
      <c r="C2" s="5"/>
      <c r="D2" s="5"/>
      <c r="E2" s="6"/>
      <c r="F2" s="6"/>
      <c r="G2" s="7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 customHeight="1">
      <c r="A3" s="10"/>
      <c r="B3" s="11" t="s">
        <v>3</v>
      </c>
      <c r="C3" s="12"/>
      <c r="D3" s="13" t="s">
        <v>4</v>
      </c>
      <c r="E3" s="14"/>
      <c r="F3" s="3"/>
      <c r="G3" s="15" t="s">
        <v>5</v>
      </c>
      <c r="H3" s="16" t="s">
        <v>6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4.25" customHeight="1">
      <c r="A4" s="10"/>
      <c r="B4" s="18" t="s">
        <v>7</v>
      </c>
      <c r="C4" s="19">
        <v>20539249640</v>
      </c>
      <c r="D4" s="13" t="s">
        <v>8</v>
      </c>
      <c r="E4" s="20" t="s">
        <v>1514</v>
      </c>
      <c r="F4" s="3"/>
      <c r="G4" s="15" t="s">
        <v>10</v>
      </c>
      <c r="H4" s="108">
        <f>VLOOKUP(E4,'Lista de Tiendas'!A3:D200,3)</f>
        <v>29150404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6.5" customHeight="1">
      <c r="A5" s="10"/>
      <c r="B5" s="18" t="s">
        <v>11</v>
      </c>
      <c r="C5" s="22" t="s">
        <v>12</v>
      </c>
      <c r="D5" s="13" t="s">
        <v>13</v>
      </c>
      <c r="E5" s="23" t="s">
        <v>14</v>
      </c>
      <c r="F5" s="3"/>
      <c r="G5" s="24" t="s">
        <v>15</v>
      </c>
      <c r="H5" s="25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6.5" customHeight="1">
      <c r="A6" s="10"/>
      <c r="B6" s="18" t="s">
        <v>16</v>
      </c>
      <c r="C6" s="26" t="s">
        <v>1649</v>
      </c>
      <c r="D6" s="13" t="s">
        <v>17</v>
      </c>
      <c r="E6" s="27"/>
      <c r="F6" s="3"/>
      <c r="G6" s="24" t="s">
        <v>18</v>
      </c>
      <c r="H6" s="28">
        <f>+SUM(Liquidación!$H$9:$H$17)</f>
        <v>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" customHeight="1">
      <c r="A7" s="10"/>
      <c r="B7" s="3"/>
      <c r="C7" s="29" t="s">
        <v>19</v>
      </c>
      <c r="D7" s="3"/>
      <c r="E7" s="3"/>
      <c r="F7" s="30"/>
      <c r="G7" s="31"/>
      <c r="H7" s="32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25" customHeight="1">
      <c r="A8" s="33" t="s">
        <v>20</v>
      </c>
      <c r="B8" s="34" t="s">
        <v>21</v>
      </c>
      <c r="C8" s="34" t="s">
        <v>22</v>
      </c>
      <c r="D8" s="34" t="s">
        <v>23</v>
      </c>
      <c r="E8" s="34" t="s">
        <v>24</v>
      </c>
      <c r="F8" s="34" t="s">
        <v>25</v>
      </c>
      <c r="G8" s="35" t="s">
        <v>26</v>
      </c>
      <c r="H8" s="34" t="s">
        <v>27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4.25" customHeight="1">
      <c r="A9" s="99">
        <v>1</v>
      </c>
      <c r="B9" s="100"/>
      <c r="C9" s="101" t="s">
        <v>28</v>
      </c>
      <c r="D9" s="101"/>
      <c r="E9" s="101"/>
      <c r="F9" s="101"/>
      <c r="G9" s="101"/>
      <c r="H9" s="109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4.25" customHeight="1">
      <c r="A10" s="39"/>
      <c r="B10" s="38" t="s">
        <v>1462</v>
      </c>
      <c r="C10" s="102" t="str">
        <f>+VLOOKUP(B10,'Preciario SAT BT'!$A$3:$D$1000,2,0)</f>
        <v>VIATICO CORRECTIVO DIA ADICIONAL (ALOJAMIENTO Y HOSPEDAJE)</v>
      </c>
      <c r="D10" s="103"/>
      <c r="E10" s="104" t="str">
        <f>+VLOOKUP(B10,'Preciario SAT BT'!$A$3:$D$1000,3,0)</f>
        <v>POR PERSONA X DIA</v>
      </c>
      <c r="F10" s="105"/>
      <c r="G10" s="106">
        <f>+VLOOKUP(B10,'Preciario SAT BT'!$A$3:$D$1000,4,0)</f>
        <v>83</v>
      </c>
      <c r="H10" s="110">
        <f t="shared" ref="H10:H11" si="0">+IFERROR(F10*G10,0)</f>
        <v>0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4.25" customHeight="1">
      <c r="A11" s="39"/>
      <c r="B11" s="38"/>
      <c r="C11" s="102" t="e">
        <f>+VLOOKUP(B11,'Preciario SAT BT'!$A$3:$D$1000,2,0)</f>
        <v>#N/A</v>
      </c>
      <c r="D11" s="103"/>
      <c r="E11" s="104" t="e">
        <f>+VLOOKUP(B11,'Preciario SAT BT'!$A$3:$D$1000,3,0)</f>
        <v>#N/A</v>
      </c>
      <c r="F11" s="105"/>
      <c r="G11" s="106" t="e">
        <f>+VLOOKUP(B11,'Preciario SAT BT'!$A$3:$D$1000,4,0)</f>
        <v>#N/A</v>
      </c>
      <c r="H11" s="110">
        <f t="shared" si="0"/>
        <v>0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4.25" customHeight="1">
      <c r="A12" s="99">
        <v>2</v>
      </c>
      <c r="B12" s="100"/>
      <c r="C12" s="101" t="s">
        <v>29</v>
      </c>
      <c r="D12" s="101"/>
      <c r="E12" s="101"/>
      <c r="F12" s="101"/>
      <c r="G12" s="101"/>
      <c r="H12" s="109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4.4">
      <c r="A13" s="37"/>
      <c r="B13" s="38"/>
      <c r="C13" s="102" t="e">
        <f>+VLOOKUP(B13,'Preciario SAT BT'!$A$3:$D$1000,2,0)</f>
        <v>#N/A</v>
      </c>
      <c r="D13" s="103"/>
      <c r="E13" s="104" t="e">
        <f>+VLOOKUP(B13,'Preciario SAT BT'!$A$3:$D$1000,3,0)</f>
        <v>#N/A</v>
      </c>
      <c r="F13" s="105"/>
      <c r="G13" s="106" t="e">
        <f>+VLOOKUP(B13,'Preciario SAT BT'!$A$3:$D$1000,4,0)</f>
        <v>#N/A</v>
      </c>
      <c r="H13" s="110">
        <f t="shared" ref="H13:H14" si="1">+IFERROR(F13*G13,0)</f>
        <v>0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4.4">
      <c r="A14" s="37"/>
      <c r="B14" s="38"/>
      <c r="C14" s="102" t="e">
        <f>+VLOOKUP(B14,'Preciario SAT BT'!$A$3:$D$1000,2,0)</f>
        <v>#N/A</v>
      </c>
      <c r="D14" s="107"/>
      <c r="E14" s="104" t="e">
        <f>+VLOOKUP(B14,'Preciario SAT BT'!$A$3:$D$1000,3,0)</f>
        <v>#N/A</v>
      </c>
      <c r="F14" s="105"/>
      <c r="G14" s="106" t="e">
        <f>+VLOOKUP(B14,'Preciario SAT BT'!$A$3:$D$1000,4,0)</f>
        <v>#N/A</v>
      </c>
      <c r="H14" s="110">
        <f t="shared" si="1"/>
        <v>0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4.25" customHeight="1">
      <c r="A15" s="99">
        <v>3</v>
      </c>
      <c r="B15" s="100"/>
      <c r="C15" s="101" t="s">
        <v>33</v>
      </c>
      <c r="D15" s="101"/>
      <c r="E15" s="101"/>
      <c r="F15" s="101"/>
      <c r="G15" s="101"/>
      <c r="H15" s="109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4.4">
      <c r="A16" s="37"/>
      <c r="B16" s="38"/>
      <c r="C16" s="102" t="e">
        <f>+VLOOKUP(B16,'Preciario SAT BT'!$A$3:$D$1000,2,0)</f>
        <v>#N/A</v>
      </c>
      <c r="D16" s="107"/>
      <c r="E16" s="104" t="e">
        <f>+VLOOKUP(B16,'Preciario SAT BT'!$A$3:$D$1000,3,0)</f>
        <v>#N/A</v>
      </c>
      <c r="F16" s="105">
        <v>1</v>
      </c>
      <c r="G16" s="106" t="e">
        <f>+VLOOKUP(B16,'Preciario SAT BT'!$A$3:$D$1000,4,0)</f>
        <v>#N/A</v>
      </c>
      <c r="H16" s="110">
        <f t="shared" ref="H16:H17" si="2">+IFERROR(F16*G16,0)</f>
        <v>0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9.5" customHeight="1">
      <c r="A17" s="37"/>
      <c r="B17" s="98"/>
      <c r="C17" s="102" t="e">
        <f>+VLOOKUP(B17,'Preciario SAT BT'!$A$3:$D$1000,2,0)</f>
        <v>#N/A</v>
      </c>
      <c r="D17" s="107"/>
      <c r="E17" s="104" t="e">
        <f>+VLOOKUP(B17,'Preciario SAT BT'!$A$3:$D$1000,3,0)</f>
        <v>#N/A</v>
      </c>
      <c r="F17" s="105">
        <v>1</v>
      </c>
      <c r="G17" s="106" t="e">
        <f>+VLOOKUP(B17,'Preciario SAT BT'!$A$3:$D$1000,4,0)</f>
        <v>#N/A</v>
      </c>
      <c r="H17" s="110">
        <f t="shared" si="2"/>
        <v>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4.25" customHeight="1">
      <c r="A18" s="42"/>
      <c r="B18" s="42"/>
      <c r="C18" s="41"/>
      <c r="D18" s="41"/>
      <c r="E18" s="41"/>
      <c r="F18" s="43"/>
      <c r="G18" s="44"/>
      <c r="H18" s="45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4.25" customHeight="1">
      <c r="A19" s="42"/>
      <c r="B19" s="42"/>
      <c r="C19" s="41"/>
      <c r="D19" s="41"/>
      <c r="E19" s="41"/>
      <c r="F19" s="43"/>
      <c r="G19" s="44"/>
      <c r="H19" s="45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4.25" customHeight="1">
      <c r="A20" s="42"/>
      <c r="B20" s="42"/>
      <c r="C20" s="41"/>
      <c r="D20" s="41"/>
      <c r="E20" s="41"/>
      <c r="F20" s="43"/>
      <c r="G20" s="44"/>
      <c r="H20" s="45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4.25" customHeight="1">
      <c r="A21" s="42"/>
      <c r="B21" s="42"/>
      <c r="C21" s="41"/>
      <c r="D21" s="46"/>
      <c r="E21" s="41"/>
      <c r="F21" s="43"/>
      <c r="G21" s="44"/>
      <c r="H21" s="45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4.25" customHeight="1">
      <c r="A22" s="42"/>
      <c r="B22" s="42"/>
      <c r="C22" s="41"/>
      <c r="D22" s="41"/>
      <c r="E22" s="41"/>
      <c r="F22" s="43"/>
      <c r="G22" s="44"/>
      <c r="H22" s="45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4.25" customHeight="1">
      <c r="A23" s="42"/>
      <c r="B23" s="42"/>
      <c r="C23" s="41"/>
      <c r="D23" s="41"/>
      <c r="E23" s="41"/>
      <c r="F23" s="43"/>
      <c r="G23" s="44"/>
      <c r="H23" s="45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4.25" customHeight="1">
      <c r="A24" s="42"/>
      <c r="B24" s="42"/>
      <c r="C24" s="41"/>
      <c r="D24" s="41"/>
      <c r="E24" s="41"/>
      <c r="F24" s="43"/>
      <c r="G24" s="44"/>
      <c r="H24" s="45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4.25" customHeight="1">
      <c r="A25" s="42"/>
      <c r="B25" s="42"/>
      <c r="C25" s="41"/>
      <c r="D25" s="41"/>
      <c r="E25" s="41"/>
      <c r="F25" s="43"/>
      <c r="G25" s="44"/>
      <c r="H25" s="45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4.25" customHeight="1">
      <c r="A26" s="42"/>
      <c r="B26" s="42"/>
      <c r="C26" s="41"/>
      <c r="D26" s="41"/>
      <c r="E26" s="41"/>
      <c r="F26" s="43"/>
      <c r="G26" s="44"/>
      <c r="H26" s="45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4.25" customHeight="1">
      <c r="A27" s="42"/>
      <c r="B27" s="42"/>
      <c r="C27" s="41"/>
      <c r="D27" s="41"/>
      <c r="E27" s="41"/>
      <c r="F27" s="43"/>
      <c r="G27" s="44"/>
      <c r="H27" s="45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4.25" customHeight="1">
      <c r="A28" s="42"/>
      <c r="B28" s="42"/>
      <c r="C28" s="41"/>
      <c r="D28" s="41"/>
      <c r="E28" s="41"/>
      <c r="F28" s="43"/>
      <c r="G28" s="44"/>
      <c r="H28" s="45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4.25" customHeight="1">
      <c r="A29" s="42"/>
      <c r="B29" s="42"/>
      <c r="C29" s="41"/>
      <c r="D29" s="41"/>
      <c r="E29" s="41"/>
      <c r="F29" s="43"/>
      <c r="G29" s="44"/>
      <c r="H29" s="45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4.25" customHeight="1">
      <c r="A30" s="42"/>
      <c r="B30" s="42"/>
      <c r="C30" s="41"/>
      <c r="D30" s="41"/>
      <c r="E30" s="41"/>
      <c r="F30" s="43"/>
      <c r="G30" s="44"/>
      <c r="H30" s="45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4.25" customHeight="1">
      <c r="A31" s="42"/>
      <c r="B31" s="42"/>
      <c r="C31" s="41"/>
      <c r="D31" s="41"/>
      <c r="E31" s="41"/>
      <c r="F31" s="43"/>
      <c r="G31" s="44"/>
      <c r="H31" s="45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4.25" customHeight="1">
      <c r="A32" s="42"/>
      <c r="B32" s="42"/>
      <c r="C32" s="41"/>
      <c r="D32" s="41"/>
      <c r="E32" s="41"/>
      <c r="F32" s="43"/>
      <c r="G32" s="44"/>
      <c r="H32" s="45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4.25" customHeight="1">
      <c r="A33" s="42"/>
      <c r="B33" s="42"/>
      <c r="C33" s="41"/>
      <c r="D33" s="41"/>
      <c r="E33" s="41"/>
      <c r="F33" s="43"/>
      <c r="G33" s="44"/>
      <c r="H33" s="45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4.25" customHeight="1">
      <c r="A34" s="42"/>
      <c r="B34" s="42"/>
      <c r="C34" s="41"/>
      <c r="D34" s="41"/>
      <c r="E34" s="41"/>
      <c r="F34" s="43"/>
      <c r="G34" s="44"/>
      <c r="H34" s="45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4.25" customHeight="1">
      <c r="A35" s="42"/>
      <c r="B35" s="42"/>
      <c r="C35" s="41"/>
      <c r="D35" s="41"/>
      <c r="E35" s="41"/>
      <c r="F35" s="43"/>
      <c r="G35" s="44"/>
      <c r="H35" s="45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4.25" customHeight="1">
      <c r="A36" s="42"/>
      <c r="B36" s="42"/>
      <c r="C36" s="41"/>
      <c r="D36" s="41"/>
      <c r="E36" s="41"/>
      <c r="F36" s="43"/>
      <c r="G36" s="44"/>
      <c r="H36" s="45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4.25" customHeight="1">
      <c r="A37" s="42"/>
      <c r="B37" s="42"/>
      <c r="C37" s="41"/>
      <c r="D37" s="41"/>
      <c r="E37" s="41"/>
      <c r="F37" s="43"/>
      <c r="G37" s="44"/>
      <c r="H37" s="45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4.25" customHeight="1">
      <c r="A38" s="42"/>
      <c r="B38" s="42"/>
      <c r="C38" s="41"/>
      <c r="D38" s="41"/>
      <c r="E38" s="41"/>
      <c r="F38" s="43"/>
      <c r="G38" s="44"/>
      <c r="H38" s="45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4.25" customHeight="1">
      <c r="A39" s="42"/>
      <c r="B39" s="42"/>
      <c r="C39" s="41"/>
      <c r="D39" s="41"/>
      <c r="E39" s="41"/>
      <c r="F39" s="43"/>
      <c r="G39" s="44"/>
      <c r="H39" s="45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4.25" customHeight="1">
      <c r="A40" s="42"/>
      <c r="B40" s="42"/>
      <c r="C40" s="41"/>
      <c r="D40" s="41"/>
      <c r="E40" s="41"/>
      <c r="F40" s="43"/>
      <c r="G40" s="44"/>
      <c r="H40" s="45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4.25" customHeight="1">
      <c r="A41" s="42"/>
      <c r="B41" s="42"/>
      <c r="C41" s="41"/>
      <c r="D41" s="41"/>
      <c r="E41" s="41"/>
      <c r="F41" s="43"/>
      <c r="G41" s="44"/>
      <c r="H41" s="45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4.25" customHeight="1">
      <c r="A42" s="42"/>
      <c r="B42" s="42"/>
      <c r="C42" s="41"/>
      <c r="D42" s="41"/>
      <c r="E42" s="41"/>
      <c r="F42" s="43"/>
      <c r="G42" s="44"/>
      <c r="H42" s="45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4.25" customHeight="1">
      <c r="A43" s="42"/>
      <c r="B43" s="42"/>
      <c r="C43" s="41"/>
      <c r="D43" s="41"/>
      <c r="E43" s="41"/>
      <c r="F43" s="43"/>
      <c r="G43" s="44"/>
      <c r="H43" s="45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4.25" customHeight="1">
      <c r="A44" s="42"/>
      <c r="B44" s="42"/>
      <c r="C44" s="41"/>
      <c r="D44" s="41"/>
      <c r="E44" s="41"/>
      <c r="F44" s="43"/>
      <c r="G44" s="44"/>
      <c r="H44" s="45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4.25" customHeight="1">
      <c r="A45" s="42"/>
      <c r="B45" s="42"/>
      <c r="C45" s="41"/>
      <c r="D45" s="41"/>
      <c r="E45" s="41"/>
      <c r="F45" s="43"/>
      <c r="G45" s="44"/>
      <c r="H45" s="45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4.25" customHeight="1">
      <c r="A46" s="42"/>
      <c r="B46" s="42"/>
      <c r="C46" s="41"/>
      <c r="D46" s="41"/>
      <c r="E46" s="41"/>
      <c r="F46" s="43"/>
      <c r="G46" s="44"/>
      <c r="H46" s="45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4.25" customHeight="1">
      <c r="A47" s="42"/>
      <c r="B47" s="42"/>
      <c r="C47" s="41"/>
      <c r="D47" s="41"/>
      <c r="E47" s="41"/>
      <c r="F47" s="43"/>
      <c r="G47" s="44"/>
      <c r="H47" s="45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4.25" customHeight="1">
      <c r="A48" s="42"/>
      <c r="B48" s="42"/>
      <c r="C48" s="41"/>
      <c r="D48" s="41"/>
      <c r="E48" s="41"/>
      <c r="F48" s="43"/>
      <c r="G48" s="44"/>
      <c r="H48" s="45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4.25" customHeight="1">
      <c r="A49" s="42"/>
      <c r="B49" s="42"/>
      <c r="C49" s="41"/>
      <c r="D49" s="41"/>
      <c r="E49" s="41"/>
      <c r="F49" s="43"/>
      <c r="G49" s="44"/>
      <c r="H49" s="45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4.25" customHeight="1">
      <c r="A50" s="42"/>
      <c r="B50" s="42"/>
      <c r="C50" s="41"/>
      <c r="D50" s="41"/>
      <c r="E50" s="41"/>
      <c r="F50" s="43"/>
      <c r="G50" s="44"/>
      <c r="H50" s="45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4.25" customHeight="1">
      <c r="A51" s="42"/>
      <c r="B51" s="42"/>
      <c r="C51" s="41"/>
      <c r="D51" s="41"/>
      <c r="E51" s="41"/>
      <c r="F51" s="43"/>
      <c r="G51" s="44"/>
      <c r="H51" s="45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4.25" customHeight="1">
      <c r="A52" s="42"/>
      <c r="B52" s="42"/>
      <c r="C52" s="41"/>
      <c r="D52" s="41"/>
      <c r="E52" s="41"/>
      <c r="F52" s="43"/>
      <c r="G52" s="44"/>
      <c r="H52" s="45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4.25" customHeight="1">
      <c r="A53" s="42"/>
      <c r="B53" s="42"/>
      <c r="C53" s="41"/>
      <c r="D53" s="41"/>
      <c r="E53" s="41"/>
      <c r="F53" s="43"/>
      <c r="G53" s="44"/>
      <c r="H53" s="45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4.25" customHeight="1">
      <c r="A54" s="42"/>
      <c r="B54" s="42"/>
      <c r="C54" s="41"/>
      <c r="D54" s="41"/>
      <c r="E54" s="41"/>
      <c r="F54" s="43"/>
      <c r="G54" s="44"/>
      <c r="H54" s="45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4.25" customHeight="1">
      <c r="A55" s="42"/>
      <c r="B55" s="42"/>
      <c r="C55" s="41"/>
      <c r="D55" s="41"/>
      <c r="E55" s="41"/>
      <c r="F55" s="43"/>
      <c r="G55" s="44"/>
      <c r="H55" s="45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4.25" customHeight="1">
      <c r="A56" s="42"/>
      <c r="B56" s="42"/>
      <c r="C56" s="41"/>
      <c r="D56" s="41"/>
      <c r="E56" s="41"/>
      <c r="F56" s="43"/>
      <c r="G56" s="44"/>
      <c r="H56" s="45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4.25" customHeight="1">
      <c r="A57" s="42"/>
      <c r="B57" s="42"/>
      <c r="C57" s="41"/>
      <c r="D57" s="41"/>
      <c r="E57" s="41"/>
      <c r="F57" s="43"/>
      <c r="G57" s="44"/>
      <c r="H57" s="45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4.25" customHeight="1">
      <c r="A58" s="42"/>
      <c r="B58" s="42"/>
      <c r="C58" s="41"/>
      <c r="D58" s="41"/>
      <c r="E58" s="41"/>
      <c r="F58" s="43"/>
      <c r="G58" s="44"/>
      <c r="H58" s="45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4.25" customHeight="1">
      <c r="A59" s="42"/>
      <c r="B59" s="42"/>
      <c r="C59" s="41"/>
      <c r="D59" s="41"/>
      <c r="E59" s="41"/>
      <c r="F59" s="43"/>
      <c r="G59" s="44"/>
      <c r="H59" s="45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4.25" customHeight="1">
      <c r="A60" s="42"/>
      <c r="B60" s="42"/>
      <c r="C60" s="41"/>
      <c r="D60" s="41"/>
      <c r="E60" s="41"/>
      <c r="F60" s="43"/>
      <c r="G60" s="44"/>
      <c r="H60" s="45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4.25" customHeight="1">
      <c r="A61" s="42"/>
      <c r="B61" s="42"/>
      <c r="C61" s="41"/>
      <c r="D61" s="41"/>
      <c r="E61" s="41"/>
      <c r="F61" s="43"/>
      <c r="G61" s="44"/>
      <c r="H61" s="45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4.25" customHeight="1">
      <c r="A62" s="42"/>
      <c r="B62" s="42"/>
      <c r="C62" s="41"/>
      <c r="D62" s="41"/>
      <c r="E62" s="41"/>
      <c r="F62" s="43"/>
      <c r="G62" s="44"/>
      <c r="H62" s="45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4.25" customHeight="1">
      <c r="A63" s="42"/>
      <c r="B63" s="42"/>
      <c r="C63" s="41"/>
      <c r="D63" s="41"/>
      <c r="E63" s="41"/>
      <c r="F63" s="43"/>
      <c r="G63" s="44"/>
      <c r="H63" s="45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4.25" customHeight="1">
      <c r="A64" s="42"/>
      <c r="B64" s="42"/>
      <c r="C64" s="41"/>
      <c r="D64" s="41"/>
      <c r="E64" s="41"/>
      <c r="F64" s="43"/>
      <c r="G64" s="44"/>
      <c r="H64" s="45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4.25" customHeight="1">
      <c r="A65" s="42"/>
      <c r="B65" s="42"/>
      <c r="C65" s="41"/>
      <c r="D65" s="41"/>
      <c r="E65" s="41"/>
      <c r="F65" s="43"/>
      <c r="G65" s="44"/>
      <c r="H65" s="45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4.25" customHeight="1">
      <c r="A66" s="42"/>
      <c r="B66" s="42"/>
      <c r="C66" s="41"/>
      <c r="D66" s="41"/>
      <c r="E66" s="41"/>
      <c r="F66" s="43"/>
      <c r="G66" s="44"/>
      <c r="H66" s="45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4.25" customHeight="1">
      <c r="A67" s="42"/>
      <c r="B67" s="42"/>
      <c r="C67" s="41"/>
      <c r="D67" s="41"/>
      <c r="E67" s="41"/>
      <c r="F67" s="43"/>
      <c r="G67" s="44"/>
      <c r="H67" s="45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4.25" customHeight="1">
      <c r="A68" s="42"/>
      <c r="B68" s="42"/>
      <c r="C68" s="41"/>
      <c r="D68" s="41"/>
      <c r="E68" s="41"/>
      <c r="F68" s="43"/>
      <c r="G68" s="44"/>
      <c r="H68" s="45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4.25" customHeight="1">
      <c r="A69" s="42"/>
      <c r="B69" s="42"/>
      <c r="C69" s="41"/>
      <c r="D69" s="41"/>
      <c r="E69" s="41"/>
      <c r="F69" s="43"/>
      <c r="G69" s="44"/>
      <c r="H69" s="45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4.25" customHeight="1">
      <c r="A70" s="42"/>
      <c r="B70" s="42"/>
      <c r="C70" s="41"/>
      <c r="D70" s="41"/>
      <c r="E70" s="41"/>
      <c r="F70" s="43"/>
      <c r="G70" s="44"/>
      <c r="H70" s="45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4.25" customHeight="1">
      <c r="A71" s="42"/>
      <c r="B71" s="42"/>
      <c r="C71" s="41"/>
      <c r="D71" s="41"/>
      <c r="E71" s="41"/>
      <c r="F71" s="43"/>
      <c r="G71" s="44"/>
      <c r="H71" s="45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4.25" customHeight="1">
      <c r="A72" s="42"/>
      <c r="B72" s="42"/>
      <c r="C72" s="41"/>
      <c r="D72" s="41"/>
      <c r="E72" s="41"/>
      <c r="F72" s="43"/>
      <c r="G72" s="44"/>
      <c r="H72" s="45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4.25" customHeight="1">
      <c r="A73" s="42"/>
      <c r="B73" s="42"/>
      <c r="C73" s="41"/>
      <c r="D73" s="41"/>
      <c r="E73" s="41"/>
      <c r="F73" s="43"/>
      <c r="G73" s="44"/>
      <c r="H73" s="45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4.25" customHeight="1">
      <c r="A74" s="42"/>
      <c r="B74" s="42"/>
      <c r="C74" s="41"/>
      <c r="D74" s="41"/>
      <c r="E74" s="41"/>
      <c r="F74" s="43"/>
      <c r="G74" s="44"/>
      <c r="H74" s="45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4.25" customHeight="1">
      <c r="A75" s="42"/>
      <c r="B75" s="42"/>
      <c r="C75" s="41"/>
      <c r="D75" s="41"/>
      <c r="E75" s="41"/>
      <c r="F75" s="43"/>
      <c r="G75" s="44"/>
      <c r="H75" s="45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4.25" customHeight="1">
      <c r="A76" s="42"/>
      <c r="B76" s="42"/>
      <c r="C76" s="41"/>
      <c r="D76" s="41"/>
      <c r="E76" s="41"/>
      <c r="F76" s="43"/>
      <c r="G76" s="44"/>
      <c r="H76" s="45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4.25" customHeight="1">
      <c r="A77" s="42"/>
      <c r="B77" s="42"/>
      <c r="C77" s="41"/>
      <c r="D77" s="41"/>
      <c r="E77" s="41"/>
      <c r="F77" s="43"/>
      <c r="G77" s="44"/>
      <c r="H77" s="45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4.25" customHeight="1">
      <c r="A78" s="42"/>
      <c r="B78" s="42"/>
      <c r="C78" s="41"/>
      <c r="D78" s="41"/>
      <c r="E78" s="41"/>
      <c r="F78" s="43"/>
      <c r="G78" s="44"/>
      <c r="H78" s="45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4.25" customHeight="1">
      <c r="A79" s="42"/>
      <c r="B79" s="42"/>
      <c r="C79" s="41"/>
      <c r="D79" s="41"/>
      <c r="E79" s="41"/>
      <c r="F79" s="43"/>
      <c r="G79" s="44"/>
      <c r="H79" s="45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4.25" customHeight="1">
      <c r="A80" s="42"/>
      <c r="B80" s="42"/>
      <c r="C80" s="41"/>
      <c r="D80" s="41"/>
      <c r="E80" s="41"/>
      <c r="F80" s="43"/>
      <c r="G80" s="44"/>
      <c r="H80" s="45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4.25" customHeight="1">
      <c r="A81" s="42"/>
      <c r="B81" s="42"/>
      <c r="C81" s="41"/>
      <c r="D81" s="41"/>
      <c r="E81" s="41"/>
      <c r="F81" s="43"/>
      <c r="G81" s="44"/>
      <c r="H81" s="45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4.25" customHeight="1">
      <c r="A82" s="42"/>
      <c r="B82" s="42"/>
      <c r="C82" s="41"/>
      <c r="D82" s="41"/>
      <c r="E82" s="41"/>
      <c r="F82" s="43"/>
      <c r="G82" s="44"/>
      <c r="H82" s="45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4.25" customHeight="1">
      <c r="A83" s="42"/>
      <c r="B83" s="42"/>
      <c r="C83" s="41"/>
      <c r="D83" s="41"/>
      <c r="E83" s="41"/>
      <c r="F83" s="43"/>
      <c r="G83" s="44"/>
      <c r="H83" s="45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4.25" customHeight="1">
      <c r="A84" s="42"/>
      <c r="B84" s="42"/>
      <c r="C84" s="41"/>
      <c r="D84" s="41"/>
      <c r="E84" s="41"/>
      <c r="F84" s="43"/>
      <c r="G84" s="44"/>
      <c r="H84" s="45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4.25" customHeight="1">
      <c r="A85" s="42"/>
      <c r="B85" s="42"/>
      <c r="C85" s="41"/>
      <c r="D85" s="41"/>
      <c r="E85" s="41"/>
      <c r="F85" s="43"/>
      <c r="G85" s="44"/>
      <c r="H85" s="45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4.25" customHeight="1">
      <c r="A86" s="42"/>
      <c r="B86" s="42"/>
      <c r="C86" s="41"/>
      <c r="D86" s="41"/>
      <c r="E86" s="41"/>
      <c r="F86" s="43"/>
      <c r="G86" s="44"/>
      <c r="H86" s="45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4.25" customHeight="1">
      <c r="A87" s="42"/>
      <c r="B87" s="42"/>
      <c r="C87" s="41"/>
      <c r="D87" s="41"/>
      <c r="E87" s="41"/>
      <c r="F87" s="43"/>
      <c r="G87" s="44"/>
      <c r="H87" s="45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4.25" customHeight="1">
      <c r="A88" s="42"/>
      <c r="B88" s="42"/>
      <c r="C88" s="41"/>
      <c r="D88" s="41"/>
      <c r="E88" s="41"/>
      <c r="F88" s="43"/>
      <c r="G88" s="44"/>
      <c r="H88" s="45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4.25" customHeight="1">
      <c r="A89" s="42"/>
      <c r="B89" s="42"/>
      <c r="C89" s="41"/>
      <c r="D89" s="41"/>
      <c r="E89" s="41"/>
      <c r="F89" s="43"/>
      <c r="G89" s="44"/>
      <c r="H89" s="45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4.25" customHeight="1">
      <c r="A90" s="42"/>
      <c r="B90" s="42"/>
      <c r="C90" s="41"/>
      <c r="D90" s="41"/>
      <c r="E90" s="41"/>
      <c r="F90" s="43"/>
      <c r="G90" s="44"/>
      <c r="H90" s="45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4.25" customHeight="1">
      <c r="A91" s="42"/>
      <c r="B91" s="42"/>
      <c r="C91" s="41"/>
      <c r="D91" s="41"/>
      <c r="E91" s="41"/>
      <c r="F91" s="43"/>
      <c r="G91" s="44"/>
      <c r="H91" s="45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4.25" customHeight="1">
      <c r="A92" s="42"/>
      <c r="B92" s="42"/>
      <c r="C92" s="41"/>
      <c r="D92" s="41"/>
      <c r="E92" s="41"/>
      <c r="F92" s="43"/>
      <c r="G92" s="44"/>
      <c r="H92" s="45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4.25" customHeight="1">
      <c r="A93" s="42"/>
      <c r="B93" s="42"/>
      <c r="C93" s="41"/>
      <c r="D93" s="41"/>
      <c r="E93" s="41"/>
      <c r="F93" s="43"/>
      <c r="G93" s="44"/>
      <c r="H93" s="45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4.25" customHeight="1">
      <c r="A94" s="42"/>
      <c r="B94" s="42"/>
      <c r="C94" s="41"/>
      <c r="D94" s="41"/>
      <c r="E94" s="41"/>
      <c r="F94" s="43"/>
      <c r="G94" s="44"/>
      <c r="H94" s="45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4.25" customHeight="1">
      <c r="A95" s="42"/>
      <c r="B95" s="42"/>
      <c r="C95" s="41"/>
      <c r="D95" s="41"/>
      <c r="E95" s="41"/>
      <c r="F95" s="43"/>
      <c r="G95" s="44"/>
      <c r="H95" s="45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4.25" customHeight="1">
      <c r="A96" s="42"/>
      <c r="B96" s="42"/>
      <c r="C96" s="41"/>
      <c r="D96" s="41"/>
      <c r="E96" s="41"/>
      <c r="F96" s="43"/>
      <c r="G96" s="44"/>
      <c r="H96" s="45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4.25" customHeight="1">
      <c r="A97" s="42"/>
      <c r="B97" s="42"/>
      <c r="C97" s="41"/>
      <c r="D97" s="41"/>
      <c r="E97" s="41"/>
      <c r="F97" s="43"/>
      <c r="G97" s="44"/>
      <c r="H97" s="45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4.25" customHeight="1">
      <c r="A98" s="42"/>
      <c r="B98" s="42"/>
      <c r="C98" s="41"/>
      <c r="D98" s="41"/>
      <c r="E98" s="41"/>
      <c r="F98" s="43"/>
      <c r="G98" s="44"/>
      <c r="H98" s="45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4.25" customHeight="1">
      <c r="A99" s="42"/>
      <c r="B99" s="42"/>
      <c r="C99" s="41"/>
      <c r="D99" s="41"/>
      <c r="E99" s="41"/>
      <c r="F99" s="43"/>
      <c r="G99" s="44"/>
      <c r="H99" s="45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4.25" customHeight="1">
      <c r="A100" s="42"/>
      <c r="B100" s="42"/>
      <c r="C100" s="41"/>
      <c r="D100" s="41"/>
      <c r="E100" s="41"/>
      <c r="F100" s="43"/>
      <c r="G100" s="44"/>
      <c r="H100" s="45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4.25" customHeight="1">
      <c r="A101" s="42"/>
      <c r="B101" s="42"/>
      <c r="C101" s="41"/>
      <c r="D101" s="41"/>
      <c r="E101" s="41"/>
      <c r="F101" s="43"/>
      <c r="G101" s="44"/>
      <c r="H101" s="45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4.25" customHeight="1">
      <c r="A102" s="42"/>
      <c r="B102" s="42"/>
      <c r="C102" s="41"/>
      <c r="D102" s="41"/>
      <c r="E102" s="41"/>
      <c r="F102" s="43"/>
      <c r="G102" s="44"/>
      <c r="H102" s="45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4.25" customHeight="1">
      <c r="A103" s="42"/>
      <c r="B103" s="42"/>
      <c r="C103" s="41"/>
      <c r="D103" s="41"/>
      <c r="E103" s="41"/>
      <c r="F103" s="43"/>
      <c r="G103" s="44"/>
      <c r="H103" s="45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4.25" customHeight="1">
      <c r="A104" s="42"/>
      <c r="B104" s="42"/>
      <c r="C104" s="41"/>
      <c r="D104" s="41"/>
      <c r="E104" s="41"/>
      <c r="F104" s="43"/>
      <c r="G104" s="44"/>
      <c r="H104" s="45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4.25" customHeight="1">
      <c r="A105" s="42"/>
      <c r="B105" s="42"/>
      <c r="C105" s="41"/>
      <c r="D105" s="41"/>
      <c r="E105" s="41"/>
      <c r="F105" s="43"/>
      <c r="G105" s="44"/>
      <c r="H105" s="45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4.25" customHeight="1">
      <c r="A106" s="42"/>
      <c r="B106" s="42"/>
      <c r="C106" s="41"/>
      <c r="D106" s="41"/>
      <c r="E106" s="41"/>
      <c r="F106" s="43"/>
      <c r="G106" s="44"/>
      <c r="H106" s="45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4.25" customHeight="1">
      <c r="A107" s="42"/>
      <c r="B107" s="42"/>
      <c r="C107" s="41"/>
      <c r="D107" s="41"/>
      <c r="E107" s="41"/>
      <c r="F107" s="43"/>
      <c r="G107" s="44"/>
      <c r="H107" s="45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4.25" customHeight="1">
      <c r="A108" s="42"/>
      <c r="B108" s="42"/>
      <c r="C108" s="41"/>
      <c r="D108" s="41"/>
      <c r="E108" s="41"/>
      <c r="F108" s="43"/>
      <c r="G108" s="44"/>
      <c r="H108" s="45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4.25" customHeight="1">
      <c r="A109" s="42"/>
      <c r="B109" s="42"/>
      <c r="C109" s="41"/>
      <c r="D109" s="41"/>
      <c r="E109" s="41"/>
      <c r="F109" s="43"/>
      <c r="G109" s="44"/>
      <c r="H109" s="45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4.25" customHeight="1">
      <c r="A110" s="42"/>
      <c r="B110" s="42"/>
      <c r="C110" s="41"/>
      <c r="D110" s="41"/>
      <c r="E110" s="41"/>
      <c r="F110" s="43"/>
      <c r="G110" s="44"/>
      <c r="H110" s="45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4.25" customHeight="1">
      <c r="A111" s="42"/>
      <c r="B111" s="42"/>
      <c r="C111" s="41"/>
      <c r="D111" s="41"/>
      <c r="E111" s="41"/>
      <c r="F111" s="43"/>
      <c r="G111" s="44"/>
      <c r="H111" s="45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4.25" customHeight="1">
      <c r="A112" s="42"/>
      <c r="B112" s="42"/>
      <c r="C112" s="41"/>
      <c r="D112" s="41"/>
      <c r="E112" s="41"/>
      <c r="F112" s="43"/>
      <c r="G112" s="44"/>
      <c r="H112" s="45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4.25" customHeight="1">
      <c r="A113" s="42"/>
      <c r="B113" s="42"/>
      <c r="C113" s="41"/>
      <c r="D113" s="41"/>
      <c r="E113" s="41"/>
      <c r="F113" s="43"/>
      <c r="G113" s="44"/>
      <c r="H113" s="45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4.25" customHeight="1">
      <c r="A114" s="42"/>
      <c r="B114" s="42"/>
      <c r="C114" s="41"/>
      <c r="D114" s="41"/>
      <c r="E114" s="41"/>
      <c r="F114" s="43"/>
      <c r="G114" s="44"/>
      <c r="H114" s="45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4.25" customHeight="1">
      <c r="A115" s="42"/>
      <c r="B115" s="42"/>
      <c r="C115" s="41"/>
      <c r="D115" s="41"/>
      <c r="E115" s="41"/>
      <c r="F115" s="43"/>
      <c r="G115" s="44"/>
      <c r="H115" s="45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4.25" customHeight="1">
      <c r="A116" s="42"/>
      <c r="B116" s="42"/>
      <c r="C116" s="41"/>
      <c r="D116" s="41"/>
      <c r="E116" s="41"/>
      <c r="F116" s="43"/>
      <c r="G116" s="44"/>
      <c r="H116" s="45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4.25" customHeight="1">
      <c r="A117" s="42"/>
      <c r="B117" s="42"/>
      <c r="C117" s="41"/>
      <c r="D117" s="41"/>
      <c r="E117" s="41"/>
      <c r="F117" s="43"/>
      <c r="G117" s="44"/>
      <c r="H117" s="45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4.25" customHeight="1">
      <c r="A118" s="42"/>
      <c r="B118" s="42"/>
      <c r="C118" s="41"/>
      <c r="D118" s="41"/>
      <c r="E118" s="41"/>
      <c r="F118" s="43"/>
      <c r="G118" s="44"/>
      <c r="H118" s="45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4.25" customHeight="1">
      <c r="A119" s="42"/>
      <c r="B119" s="42"/>
      <c r="C119" s="41"/>
      <c r="D119" s="41"/>
      <c r="E119" s="41"/>
      <c r="F119" s="43"/>
      <c r="G119" s="44"/>
      <c r="H119" s="45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4.25" customHeight="1">
      <c r="A120" s="42"/>
      <c r="B120" s="42"/>
      <c r="C120" s="41"/>
      <c r="D120" s="41"/>
      <c r="E120" s="41"/>
      <c r="F120" s="43"/>
      <c r="G120" s="44"/>
      <c r="H120" s="45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4.25" customHeight="1">
      <c r="A121" s="42"/>
      <c r="B121" s="42"/>
      <c r="C121" s="41"/>
      <c r="D121" s="41"/>
      <c r="E121" s="41"/>
      <c r="F121" s="43"/>
      <c r="G121" s="44"/>
      <c r="H121" s="45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4.25" customHeight="1">
      <c r="A122" s="42"/>
      <c r="B122" s="42"/>
      <c r="C122" s="41"/>
      <c r="D122" s="41"/>
      <c r="E122" s="41"/>
      <c r="F122" s="43"/>
      <c r="G122" s="44"/>
      <c r="H122" s="45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4.25" customHeight="1">
      <c r="A123" s="42"/>
      <c r="B123" s="42"/>
      <c r="C123" s="41"/>
      <c r="D123" s="41"/>
      <c r="E123" s="41"/>
      <c r="F123" s="43"/>
      <c r="G123" s="44"/>
      <c r="H123" s="45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4.25" customHeight="1">
      <c r="A124" s="42"/>
      <c r="B124" s="42"/>
      <c r="C124" s="41"/>
      <c r="D124" s="41"/>
      <c r="E124" s="41"/>
      <c r="F124" s="43"/>
      <c r="G124" s="44"/>
      <c r="H124" s="45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4.25" customHeight="1">
      <c r="A125" s="42"/>
      <c r="B125" s="42"/>
      <c r="C125" s="41"/>
      <c r="D125" s="41"/>
      <c r="E125" s="41"/>
      <c r="F125" s="43"/>
      <c r="G125" s="44"/>
      <c r="H125" s="45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4.25" customHeight="1">
      <c r="A126" s="42"/>
      <c r="B126" s="42"/>
      <c r="C126" s="41"/>
      <c r="D126" s="41"/>
      <c r="E126" s="41"/>
      <c r="F126" s="43"/>
      <c r="G126" s="44"/>
      <c r="H126" s="45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4.25" customHeight="1">
      <c r="A127" s="42"/>
      <c r="B127" s="42"/>
      <c r="C127" s="41"/>
      <c r="D127" s="41"/>
      <c r="E127" s="41"/>
      <c r="F127" s="43"/>
      <c r="G127" s="44"/>
      <c r="H127" s="45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4.25" customHeight="1">
      <c r="A128" s="42"/>
      <c r="B128" s="42"/>
      <c r="C128" s="41"/>
      <c r="D128" s="41"/>
      <c r="E128" s="41"/>
      <c r="F128" s="43"/>
      <c r="G128" s="44"/>
      <c r="H128" s="45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4.25" customHeight="1">
      <c r="A129" s="42"/>
      <c r="B129" s="42"/>
      <c r="C129" s="41"/>
      <c r="D129" s="41"/>
      <c r="E129" s="41"/>
      <c r="F129" s="43"/>
      <c r="G129" s="44"/>
      <c r="H129" s="45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4.25" customHeight="1">
      <c r="A130" s="42"/>
      <c r="B130" s="42"/>
      <c r="C130" s="41"/>
      <c r="D130" s="41"/>
      <c r="E130" s="41"/>
      <c r="F130" s="43"/>
      <c r="G130" s="44"/>
      <c r="H130" s="45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4.25" customHeight="1">
      <c r="A131" s="42"/>
      <c r="B131" s="42"/>
      <c r="C131" s="41"/>
      <c r="D131" s="41"/>
      <c r="E131" s="41"/>
      <c r="F131" s="43"/>
      <c r="G131" s="44"/>
      <c r="H131" s="45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4.25" customHeight="1">
      <c r="A132" s="42"/>
      <c r="B132" s="42"/>
      <c r="C132" s="41"/>
      <c r="D132" s="41"/>
      <c r="E132" s="41"/>
      <c r="F132" s="43"/>
      <c r="G132" s="44"/>
      <c r="H132" s="45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4.25" customHeight="1">
      <c r="A133" s="42"/>
      <c r="B133" s="42"/>
      <c r="C133" s="41"/>
      <c r="D133" s="41"/>
      <c r="E133" s="41"/>
      <c r="F133" s="43"/>
      <c r="G133" s="44"/>
      <c r="H133" s="45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4.25" customHeight="1">
      <c r="A134" s="42"/>
      <c r="B134" s="42"/>
      <c r="C134" s="41"/>
      <c r="D134" s="41"/>
      <c r="E134" s="41"/>
      <c r="F134" s="43"/>
      <c r="G134" s="44"/>
      <c r="H134" s="45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4.25" customHeight="1">
      <c r="A135" s="42"/>
      <c r="B135" s="42"/>
      <c r="C135" s="41"/>
      <c r="D135" s="41"/>
      <c r="E135" s="41"/>
      <c r="F135" s="43"/>
      <c r="G135" s="44"/>
      <c r="H135" s="45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4.25" customHeight="1">
      <c r="A136" s="42"/>
      <c r="B136" s="42"/>
      <c r="C136" s="41"/>
      <c r="D136" s="41"/>
      <c r="E136" s="41"/>
      <c r="F136" s="43"/>
      <c r="G136" s="44"/>
      <c r="H136" s="45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4.25" customHeight="1">
      <c r="A137" s="42"/>
      <c r="B137" s="42"/>
      <c r="C137" s="41"/>
      <c r="D137" s="41"/>
      <c r="E137" s="41"/>
      <c r="F137" s="43"/>
      <c r="G137" s="44"/>
      <c r="H137" s="45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4.25" customHeight="1">
      <c r="A138" s="42"/>
      <c r="B138" s="42"/>
      <c r="C138" s="41"/>
      <c r="D138" s="41"/>
      <c r="E138" s="41"/>
      <c r="F138" s="43"/>
      <c r="G138" s="44"/>
      <c r="H138" s="45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4.25" customHeight="1">
      <c r="A139" s="42"/>
      <c r="B139" s="42"/>
      <c r="C139" s="41"/>
      <c r="D139" s="41"/>
      <c r="E139" s="41"/>
      <c r="F139" s="43"/>
      <c r="G139" s="44"/>
      <c r="H139" s="45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4.25" customHeight="1">
      <c r="A140" s="42"/>
      <c r="B140" s="42"/>
      <c r="C140" s="41"/>
      <c r="D140" s="41"/>
      <c r="E140" s="41"/>
      <c r="F140" s="43"/>
      <c r="G140" s="44"/>
      <c r="H140" s="45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4.25" customHeight="1">
      <c r="A141" s="42"/>
      <c r="B141" s="42"/>
      <c r="C141" s="41"/>
      <c r="D141" s="41"/>
      <c r="E141" s="41"/>
      <c r="F141" s="43"/>
      <c r="G141" s="44"/>
      <c r="H141" s="45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4.25" customHeight="1">
      <c r="A142" s="42"/>
      <c r="B142" s="42"/>
      <c r="C142" s="41"/>
      <c r="D142" s="41"/>
      <c r="E142" s="41"/>
      <c r="F142" s="43"/>
      <c r="G142" s="44"/>
      <c r="H142" s="45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4.25" customHeight="1">
      <c r="A143" s="42"/>
      <c r="B143" s="42"/>
      <c r="C143" s="41"/>
      <c r="D143" s="41"/>
      <c r="E143" s="41"/>
      <c r="F143" s="43"/>
      <c r="G143" s="44"/>
      <c r="H143" s="45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4.25" customHeight="1">
      <c r="A144" s="42"/>
      <c r="B144" s="42"/>
      <c r="C144" s="41"/>
      <c r="D144" s="41"/>
      <c r="E144" s="41"/>
      <c r="F144" s="43"/>
      <c r="G144" s="44"/>
      <c r="H144" s="45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4.25" customHeight="1">
      <c r="A145" s="42"/>
      <c r="B145" s="42"/>
      <c r="C145" s="41"/>
      <c r="D145" s="41"/>
      <c r="E145" s="41"/>
      <c r="F145" s="43"/>
      <c r="G145" s="44"/>
      <c r="H145" s="45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4.25" customHeight="1">
      <c r="A146" s="42"/>
      <c r="B146" s="42"/>
      <c r="C146" s="41"/>
      <c r="D146" s="41"/>
      <c r="E146" s="41"/>
      <c r="F146" s="43"/>
      <c r="G146" s="44"/>
      <c r="H146" s="45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4.25" customHeight="1">
      <c r="A147" s="42"/>
      <c r="B147" s="42"/>
      <c r="C147" s="41"/>
      <c r="D147" s="41"/>
      <c r="E147" s="41"/>
      <c r="F147" s="43"/>
      <c r="G147" s="44"/>
      <c r="H147" s="45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4.25" customHeight="1">
      <c r="A148" s="42"/>
      <c r="B148" s="42"/>
      <c r="C148" s="41"/>
      <c r="D148" s="41"/>
      <c r="E148" s="41"/>
      <c r="F148" s="43"/>
      <c r="G148" s="44"/>
      <c r="H148" s="45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4.25" customHeight="1">
      <c r="A149" s="42"/>
      <c r="B149" s="42"/>
      <c r="C149" s="41"/>
      <c r="D149" s="41"/>
      <c r="E149" s="41"/>
      <c r="F149" s="43"/>
      <c r="G149" s="44"/>
      <c r="H149" s="45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4.25" customHeight="1">
      <c r="A150" s="42"/>
      <c r="B150" s="42"/>
      <c r="C150" s="41"/>
      <c r="D150" s="41"/>
      <c r="E150" s="41"/>
      <c r="F150" s="43"/>
      <c r="G150" s="44"/>
      <c r="H150" s="45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4.25" customHeight="1">
      <c r="A151" s="42"/>
      <c r="B151" s="42"/>
      <c r="C151" s="41"/>
      <c r="D151" s="41"/>
      <c r="E151" s="41"/>
      <c r="F151" s="43"/>
      <c r="G151" s="44"/>
      <c r="H151" s="45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4.25" customHeight="1">
      <c r="A152" s="42"/>
      <c r="B152" s="42"/>
      <c r="C152" s="41"/>
      <c r="D152" s="41"/>
      <c r="E152" s="41"/>
      <c r="F152" s="43"/>
      <c r="G152" s="44"/>
      <c r="H152" s="45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4.25" customHeight="1">
      <c r="A153" s="42"/>
      <c r="B153" s="42"/>
      <c r="C153" s="41"/>
      <c r="D153" s="41"/>
      <c r="E153" s="41"/>
      <c r="F153" s="43"/>
      <c r="G153" s="44"/>
      <c r="H153" s="45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4.25" customHeight="1">
      <c r="A154" s="42"/>
      <c r="B154" s="42"/>
      <c r="C154" s="41"/>
      <c r="D154" s="41"/>
      <c r="E154" s="41"/>
      <c r="F154" s="43"/>
      <c r="G154" s="44"/>
      <c r="H154" s="45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4.25" customHeight="1">
      <c r="A155" s="42"/>
      <c r="B155" s="42"/>
      <c r="C155" s="41"/>
      <c r="D155" s="41"/>
      <c r="E155" s="41"/>
      <c r="F155" s="43"/>
      <c r="G155" s="44"/>
      <c r="H155" s="45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4.25" customHeight="1">
      <c r="A156" s="42"/>
      <c r="B156" s="42"/>
      <c r="C156" s="41"/>
      <c r="D156" s="41"/>
      <c r="E156" s="41"/>
      <c r="F156" s="43"/>
      <c r="G156" s="44"/>
      <c r="H156" s="45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4.25" customHeight="1">
      <c r="A157" s="42"/>
      <c r="B157" s="42"/>
      <c r="C157" s="41"/>
      <c r="D157" s="41"/>
      <c r="E157" s="41"/>
      <c r="F157" s="43"/>
      <c r="G157" s="44"/>
      <c r="H157" s="45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4.25" customHeight="1">
      <c r="A158" s="42"/>
      <c r="B158" s="42"/>
      <c r="C158" s="41"/>
      <c r="D158" s="41"/>
      <c r="E158" s="41"/>
      <c r="F158" s="43"/>
      <c r="G158" s="44"/>
      <c r="H158" s="45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4.25" customHeight="1">
      <c r="A159" s="42"/>
      <c r="B159" s="42"/>
      <c r="C159" s="41"/>
      <c r="D159" s="41"/>
      <c r="E159" s="41"/>
      <c r="F159" s="43"/>
      <c r="G159" s="44"/>
      <c r="H159" s="45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4.25" customHeight="1">
      <c r="A160" s="42"/>
      <c r="B160" s="42"/>
      <c r="C160" s="41"/>
      <c r="D160" s="41"/>
      <c r="E160" s="41"/>
      <c r="F160" s="43"/>
      <c r="G160" s="44"/>
      <c r="H160" s="45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4.25" customHeight="1">
      <c r="A161" s="42"/>
      <c r="B161" s="42"/>
      <c r="C161" s="41"/>
      <c r="D161" s="41"/>
      <c r="E161" s="41"/>
      <c r="F161" s="43"/>
      <c r="G161" s="44"/>
      <c r="H161" s="45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4.25" customHeight="1">
      <c r="A162" s="42"/>
      <c r="B162" s="42"/>
      <c r="C162" s="41"/>
      <c r="D162" s="41"/>
      <c r="E162" s="41"/>
      <c r="F162" s="43"/>
      <c r="G162" s="44"/>
      <c r="H162" s="45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4.25" customHeight="1">
      <c r="A163" s="42"/>
      <c r="B163" s="42"/>
      <c r="C163" s="41"/>
      <c r="D163" s="41"/>
      <c r="E163" s="41"/>
      <c r="F163" s="43"/>
      <c r="G163" s="44"/>
      <c r="H163" s="45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4.25" customHeight="1">
      <c r="A164" s="42"/>
      <c r="B164" s="42"/>
      <c r="C164" s="41"/>
      <c r="D164" s="41"/>
      <c r="E164" s="41"/>
      <c r="F164" s="43"/>
      <c r="G164" s="44"/>
      <c r="H164" s="45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4.25" customHeight="1">
      <c r="A165" s="42"/>
      <c r="B165" s="42"/>
      <c r="C165" s="41"/>
      <c r="D165" s="41"/>
      <c r="E165" s="41"/>
      <c r="F165" s="43"/>
      <c r="G165" s="44"/>
      <c r="H165" s="45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4.25" customHeight="1">
      <c r="A166" s="42"/>
      <c r="B166" s="42"/>
      <c r="C166" s="41"/>
      <c r="D166" s="41"/>
      <c r="E166" s="41"/>
      <c r="F166" s="43"/>
      <c r="G166" s="44"/>
      <c r="H166" s="45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4.25" customHeight="1">
      <c r="A167" s="42"/>
      <c r="B167" s="42"/>
      <c r="C167" s="41"/>
      <c r="D167" s="41"/>
      <c r="E167" s="41"/>
      <c r="F167" s="43"/>
      <c r="G167" s="44"/>
      <c r="H167" s="45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4.25" customHeight="1">
      <c r="A168" s="42"/>
      <c r="B168" s="42"/>
      <c r="C168" s="41"/>
      <c r="D168" s="41"/>
      <c r="E168" s="41"/>
      <c r="F168" s="43"/>
      <c r="G168" s="44"/>
      <c r="H168" s="45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4.25" customHeight="1">
      <c r="A169" s="42"/>
      <c r="B169" s="42"/>
      <c r="C169" s="41"/>
      <c r="D169" s="41"/>
      <c r="E169" s="41"/>
      <c r="F169" s="43"/>
      <c r="G169" s="44"/>
      <c r="H169" s="45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4.25" customHeight="1">
      <c r="A170" s="42"/>
      <c r="B170" s="42"/>
      <c r="C170" s="41"/>
      <c r="D170" s="41"/>
      <c r="E170" s="41"/>
      <c r="F170" s="43"/>
      <c r="G170" s="44"/>
      <c r="H170" s="45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4.25" customHeight="1">
      <c r="A171" s="42"/>
      <c r="B171" s="42"/>
      <c r="C171" s="41"/>
      <c r="D171" s="41"/>
      <c r="E171" s="41"/>
      <c r="F171" s="43"/>
      <c r="G171" s="44"/>
      <c r="H171" s="45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4.25" customHeight="1">
      <c r="A172" s="42"/>
      <c r="B172" s="42"/>
      <c r="C172" s="41"/>
      <c r="D172" s="41"/>
      <c r="E172" s="41"/>
      <c r="F172" s="43"/>
      <c r="G172" s="44"/>
      <c r="H172" s="45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4.25" customHeight="1">
      <c r="A173" s="42"/>
      <c r="B173" s="42"/>
      <c r="C173" s="41"/>
      <c r="D173" s="41"/>
      <c r="E173" s="41"/>
      <c r="F173" s="43"/>
      <c r="G173" s="44"/>
      <c r="H173" s="45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4.25" customHeight="1">
      <c r="A174" s="42"/>
      <c r="B174" s="42"/>
      <c r="C174" s="41"/>
      <c r="D174" s="41"/>
      <c r="E174" s="41"/>
      <c r="F174" s="43"/>
      <c r="G174" s="44"/>
      <c r="H174" s="45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4.25" customHeight="1">
      <c r="A175" s="42"/>
      <c r="B175" s="42"/>
      <c r="C175" s="41"/>
      <c r="D175" s="41"/>
      <c r="E175" s="41"/>
      <c r="F175" s="43"/>
      <c r="G175" s="44"/>
      <c r="H175" s="45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4.25" customHeight="1">
      <c r="A176" s="42"/>
      <c r="B176" s="42"/>
      <c r="C176" s="41"/>
      <c r="D176" s="41"/>
      <c r="E176" s="41"/>
      <c r="F176" s="43"/>
      <c r="G176" s="44"/>
      <c r="H176" s="45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4.25" customHeight="1">
      <c r="A177" s="42"/>
      <c r="B177" s="42"/>
      <c r="C177" s="41"/>
      <c r="D177" s="41"/>
      <c r="E177" s="41"/>
      <c r="F177" s="43"/>
      <c r="G177" s="44"/>
      <c r="H177" s="45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4.25" customHeight="1">
      <c r="A178" s="42"/>
      <c r="B178" s="42"/>
      <c r="C178" s="41"/>
      <c r="D178" s="41"/>
      <c r="E178" s="41"/>
      <c r="F178" s="43"/>
      <c r="G178" s="44"/>
      <c r="H178" s="45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4.25" customHeight="1">
      <c r="A179" s="42"/>
      <c r="B179" s="42"/>
      <c r="C179" s="41"/>
      <c r="D179" s="41"/>
      <c r="E179" s="41"/>
      <c r="F179" s="43"/>
      <c r="G179" s="44"/>
      <c r="H179" s="45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4.25" customHeight="1">
      <c r="A180" s="42"/>
      <c r="B180" s="42"/>
      <c r="C180" s="41"/>
      <c r="D180" s="41"/>
      <c r="E180" s="41"/>
      <c r="F180" s="43"/>
      <c r="G180" s="44"/>
      <c r="H180" s="45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4.25" customHeight="1">
      <c r="A181" s="42"/>
      <c r="B181" s="42"/>
      <c r="C181" s="41"/>
      <c r="D181" s="41"/>
      <c r="E181" s="41"/>
      <c r="F181" s="43"/>
      <c r="G181" s="44"/>
      <c r="H181" s="45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4.25" customHeight="1">
      <c r="A182" s="42"/>
      <c r="B182" s="42"/>
      <c r="C182" s="41"/>
      <c r="D182" s="41"/>
      <c r="E182" s="41"/>
      <c r="F182" s="43"/>
      <c r="G182" s="44"/>
      <c r="H182" s="45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4.25" customHeight="1">
      <c r="A183" s="42"/>
      <c r="B183" s="42"/>
      <c r="C183" s="41"/>
      <c r="D183" s="41"/>
      <c r="E183" s="41"/>
      <c r="F183" s="43"/>
      <c r="G183" s="44"/>
      <c r="H183" s="45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4.25" customHeight="1">
      <c r="A184" s="42"/>
      <c r="B184" s="42"/>
      <c r="C184" s="41"/>
      <c r="D184" s="41"/>
      <c r="E184" s="41"/>
      <c r="F184" s="43"/>
      <c r="G184" s="44"/>
      <c r="H184" s="45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4.25" customHeight="1">
      <c r="A185" s="42"/>
      <c r="B185" s="42"/>
      <c r="C185" s="41"/>
      <c r="D185" s="41"/>
      <c r="E185" s="41"/>
      <c r="F185" s="43"/>
      <c r="G185" s="44"/>
      <c r="H185" s="45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4.25" customHeight="1">
      <c r="A186" s="42"/>
      <c r="B186" s="42"/>
      <c r="C186" s="41"/>
      <c r="D186" s="41"/>
      <c r="E186" s="41"/>
      <c r="F186" s="43"/>
      <c r="G186" s="44"/>
      <c r="H186" s="45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4.25" customHeight="1">
      <c r="A187" s="42"/>
      <c r="B187" s="42"/>
      <c r="C187" s="41"/>
      <c r="D187" s="41"/>
      <c r="E187" s="41"/>
      <c r="F187" s="43"/>
      <c r="G187" s="44"/>
      <c r="H187" s="45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4.25" customHeight="1">
      <c r="A188" s="42"/>
      <c r="B188" s="42"/>
      <c r="C188" s="41"/>
      <c r="D188" s="41"/>
      <c r="E188" s="41"/>
      <c r="F188" s="43"/>
      <c r="G188" s="44"/>
      <c r="H188" s="45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4.25" customHeight="1">
      <c r="A189" s="42"/>
      <c r="B189" s="42"/>
      <c r="C189" s="41"/>
      <c r="D189" s="41"/>
      <c r="E189" s="41"/>
      <c r="F189" s="43"/>
      <c r="G189" s="44"/>
      <c r="H189" s="45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4.25" customHeight="1">
      <c r="A190" s="42"/>
      <c r="B190" s="42"/>
      <c r="C190" s="41"/>
      <c r="D190" s="41"/>
      <c r="E190" s="41"/>
      <c r="F190" s="43"/>
      <c r="G190" s="44"/>
      <c r="H190" s="45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4.25" customHeight="1">
      <c r="A191" s="42"/>
      <c r="B191" s="42"/>
      <c r="C191" s="41"/>
      <c r="D191" s="41"/>
      <c r="E191" s="41"/>
      <c r="F191" s="43"/>
      <c r="G191" s="44"/>
      <c r="H191" s="45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4.25" customHeight="1">
      <c r="A192" s="42"/>
      <c r="B192" s="42"/>
      <c r="C192" s="41"/>
      <c r="D192" s="41"/>
      <c r="E192" s="41"/>
      <c r="F192" s="43"/>
      <c r="G192" s="44"/>
      <c r="H192" s="45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4.25" customHeight="1">
      <c r="A193" s="42"/>
      <c r="B193" s="42"/>
      <c r="C193" s="41"/>
      <c r="D193" s="41"/>
      <c r="E193" s="41"/>
      <c r="F193" s="43"/>
      <c r="G193" s="44"/>
      <c r="H193" s="45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4.25" customHeight="1">
      <c r="A194" s="42"/>
      <c r="B194" s="42"/>
      <c r="C194" s="41"/>
      <c r="D194" s="41"/>
      <c r="E194" s="41"/>
      <c r="F194" s="43"/>
      <c r="G194" s="44"/>
      <c r="H194" s="45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4.25" customHeight="1">
      <c r="A195" s="42"/>
      <c r="B195" s="42"/>
      <c r="C195" s="41"/>
      <c r="D195" s="41"/>
      <c r="E195" s="41"/>
      <c r="F195" s="43"/>
      <c r="G195" s="44"/>
      <c r="H195" s="45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4.25" customHeight="1">
      <c r="A196" s="42"/>
      <c r="B196" s="42"/>
      <c r="C196" s="41"/>
      <c r="D196" s="41"/>
      <c r="E196" s="41"/>
      <c r="F196" s="43"/>
      <c r="G196" s="44"/>
      <c r="H196" s="45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4.25" customHeight="1">
      <c r="A197" s="42"/>
      <c r="B197" s="42"/>
      <c r="C197" s="41"/>
      <c r="D197" s="41"/>
      <c r="E197" s="41"/>
      <c r="F197" s="43"/>
      <c r="G197" s="44"/>
      <c r="H197" s="45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4.25" customHeight="1">
      <c r="A198" s="42"/>
      <c r="B198" s="42"/>
      <c r="C198" s="41"/>
      <c r="D198" s="41"/>
      <c r="E198" s="41"/>
      <c r="F198" s="43"/>
      <c r="G198" s="44"/>
      <c r="H198" s="45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4.25" customHeight="1">
      <c r="A199" s="42"/>
      <c r="B199" s="42"/>
      <c r="C199" s="41"/>
      <c r="D199" s="41"/>
      <c r="E199" s="41"/>
      <c r="F199" s="43"/>
      <c r="G199" s="44"/>
      <c r="H199" s="45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4.25" customHeight="1">
      <c r="A200" s="42"/>
      <c r="B200" s="42"/>
      <c r="C200" s="41"/>
      <c r="D200" s="41"/>
      <c r="E200" s="41"/>
      <c r="F200" s="43"/>
      <c r="G200" s="44"/>
      <c r="H200" s="45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4.25" customHeight="1">
      <c r="A201" s="42"/>
      <c r="B201" s="42"/>
      <c r="C201" s="41"/>
      <c r="D201" s="41"/>
      <c r="E201" s="41"/>
      <c r="F201" s="43"/>
      <c r="G201" s="44"/>
      <c r="H201" s="45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4.25" customHeight="1">
      <c r="A202" s="42"/>
      <c r="B202" s="42"/>
      <c r="C202" s="41"/>
      <c r="D202" s="41"/>
      <c r="E202" s="41"/>
      <c r="F202" s="43"/>
      <c r="G202" s="44"/>
      <c r="H202" s="45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4.25" customHeight="1">
      <c r="A203" s="42"/>
      <c r="B203" s="42"/>
      <c r="C203" s="41"/>
      <c r="D203" s="41"/>
      <c r="E203" s="41"/>
      <c r="F203" s="43"/>
      <c r="G203" s="44"/>
      <c r="H203" s="45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4.25" customHeight="1">
      <c r="A204" s="42"/>
      <c r="B204" s="42"/>
      <c r="C204" s="41"/>
      <c r="D204" s="41"/>
      <c r="E204" s="41"/>
      <c r="F204" s="43"/>
      <c r="G204" s="44"/>
      <c r="H204" s="45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4.25" customHeight="1">
      <c r="A205" s="42"/>
      <c r="B205" s="42"/>
      <c r="C205" s="41"/>
      <c r="D205" s="41"/>
      <c r="E205" s="41"/>
      <c r="F205" s="43"/>
      <c r="G205" s="44"/>
      <c r="H205" s="45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4.25" customHeight="1">
      <c r="A206" s="42"/>
      <c r="B206" s="42"/>
      <c r="C206" s="41"/>
      <c r="D206" s="41"/>
      <c r="E206" s="41"/>
      <c r="F206" s="43"/>
      <c r="G206" s="44"/>
      <c r="H206" s="45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4.25" customHeight="1">
      <c r="A207" s="42"/>
      <c r="B207" s="42"/>
      <c r="C207" s="41"/>
      <c r="D207" s="41"/>
      <c r="E207" s="41"/>
      <c r="F207" s="43"/>
      <c r="G207" s="44"/>
      <c r="H207" s="45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4.25" customHeight="1">
      <c r="A208" s="42"/>
      <c r="B208" s="42"/>
      <c r="C208" s="41"/>
      <c r="D208" s="41"/>
      <c r="E208" s="41"/>
      <c r="F208" s="43"/>
      <c r="G208" s="44"/>
      <c r="H208" s="45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4.25" customHeight="1">
      <c r="A209" s="42"/>
      <c r="B209" s="42"/>
      <c r="C209" s="41"/>
      <c r="D209" s="41"/>
      <c r="E209" s="41"/>
      <c r="F209" s="43"/>
      <c r="G209" s="44"/>
      <c r="H209" s="45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4.25" customHeight="1">
      <c r="A210" s="42"/>
      <c r="B210" s="42"/>
      <c r="C210" s="41"/>
      <c r="D210" s="41"/>
      <c r="E210" s="41"/>
      <c r="F210" s="43"/>
      <c r="G210" s="44"/>
      <c r="H210" s="45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4.25" customHeight="1">
      <c r="A211" s="42"/>
      <c r="B211" s="42"/>
      <c r="C211" s="41"/>
      <c r="D211" s="41"/>
      <c r="E211" s="41"/>
      <c r="F211" s="43"/>
      <c r="G211" s="44"/>
      <c r="H211" s="45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4.25" customHeight="1">
      <c r="A212" s="42"/>
      <c r="B212" s="42"/>
      <c r="C212" s="41"/>
      <c r="D212" s="41"/>
      <c r="E212" s="41"/>
      <c r="F212" s="43"/>
      <c r="G212" s="44"/>
      <c r="H212" s="45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4.25" customHeight="1">
      <c r="A213" s="42"/>
      <c r="B213" s="42"/>
      <c r="C213" s="41"/>
      <c r="D213" s="41"/>
      <c r="E213" s="41"/>
      <c r="F213" s="43"/>
      <c r="G213" s="44"/>
      <c r="H213" s="45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4.25" customHeight="1">
      <c r="A214" s="42"/>
      <c r="B214" s="42"/>
      <c r="C214" s="41"/>
      <c r="D214" s="41"/>
      <c r="E214" s="41"/>
      <c r="F214" s="43"/>
      <c r="G214" s="44"/>
      <c r="H214" s="45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4.25" customHeight="1">
      <c r="A215" s="42"/>
      <c r="B215" s="42"/>
      <c r="C215" s="41"/>
      <c r="D215" s="41"/>
      <c r="E215" s="41"/>
      <c r="F215" s="43"/>
      <c r="G215" s="44"/>
      <c r="H215" s="45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4.25" customHeight="1">
      <c r="A216" s="42"/>
      <c r="B216" s="42"/>
      <c r="C216" s="41"/>
      <c r="D216" s="41"/>
      <c r="E216" s="41"/>
      <c r="F216" s="43"/>
      <c r="G216" s="44"/>
      <c r="H216" s="45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4.25" customHeight="1">
      <c r="A217" s="42"/>
      <c r="B217" s="42"/>
      <c r="C217" s="41"/>
      <c r="D217" s="41"/>
      <c r="E217" s="41"/>
      <c r="F217" s="43"/>
      <c r="G217" s="44"/>
      <c r="H217" s="45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4.25" customHeight="1">
      <c r="A218" s="42"/>
      <c r="B218" s="42"/>
      <c r="C218" s="41"/>
      <c r="D218" s="41"/>
      <c r="E218" s="41"/>
      <c r="F218" s="43"/>
      <c r="G218" s="44"/>
      <c r="H218" s="45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4.25" customHeight="1">
      <c r="A219" s="42"/>
      <c r="B219" s="42"/>
      <c r="C219" s="41"/>
      <c r="D219" s="41"/>
      <c r="E219" s="41"/>
      <c r="F219" s="43"/>
      <c r="G219" s="44"/>
      <c r="H219" s="45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4.25" customHeight="1">
      <c r="A220" s="42"/>
      <c r="B220" s="42"/>
      <c r="C220" s="41"/>
      <c r="D220" s="41"/>
      <c r="E220" s="41"/>
      <c r="F220" s="43"/>
      <c r="G220" s="44"/>
      <c r="H220" s="45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4.25" customHeight="1">
      <c r="A221" s="42"/>
      <c r="B221" s="42"/>
      <c r="C221" s="41"/>
      <c r="D221" s="41"/>
      <c r="E221" s="41"/>
      <c r="F221" s="43"/>
      <c r="G221" s="44"/>
      <c r="H221" s="45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4.25" customHeight="1">
      <c r="A222" s="42"/>
      <c r="B222" s="42"/>
      <c r="C222" s="41"/>
      <c r="D222" s="41"/>
      <c r="E222" s="41"/>
      <c r="F222" s="43"/>
      <c r="G222" s="44"/>
      <c r="H222" s="45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4.25" customHeight="1">
      <c r="A223" s="42"/>
      <c r="B223" s="42"/>
      <c r="C223" s="41"/>
      <c r="D223" s="41"/>
      <c r="E223" s="41"/>
      <c r="F223" s="43"/>
      <c r="G223" s="44"/>
      <c r="H223" s="45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4.25" customHeight="1">
      <c r="A224" s="42"/>
      <c r="B224" s="42"/>
      <c r="C224" s="41"/>
      <c r="D224" s="41"/>
      <c r="E224" s="41"/>
      <c r="F224" s="43"/>
      <c r="G224" s="44"/>
      <c r="H224" s="45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4.25" customHeight="1">
      <c r="A225" s="42"/>
      <c r="B225" s="42"/>
      <c r="C225" s="41"/>
      <c r="D225" s="41"/>
      <c r="E225" s="41"/>
      <c r="F225" s="43"/>
      <c r="G225" s="44"/>
      <c r="H225" s="45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4.25" customHeight="1">
      <c r="A226" s="42"/>
      <c r="B226" s="42"/>
      <c r="C226" s="41"/>
      <c r="D226" s="41"/>
      <c r="E226" s="41"/>
      <c r="F226" s="43"/>
      <c r="G226" s="44"/>
      <c r="H226" s="45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4.25" customHeight="1">
      <c r="A227" s="42"/>
      <c r="B227" s="42"/>
      <c r="C227" s="41"/>
      <c r="D227" s="41"/>
      <c r="E227" s="41"/>
      <c r="F227" s="43"/>
      <c r="G227" s="44"/>
      <c r="H227" s="45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4.25" customHeight="1">
      <c r="A228" s="42"/>
      <c r="B228" s="42"/>
      <c r="C228" s="41"/>
      <c r="D228" s="41"/>
      <c r="E228" s="41"/>
      <c r="F228" s="43"/>
      <c r="G228" s="44"/>
      <c r="H228" s="45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4.25" customHeight="1">
      <c r="A229" s="42"/>
      <c r="B229" s="42"/>
      <c r="C229" s="41"/>
      <c r="D229" s="41"/>
      <c r="E229" s="41"/>
      <c r="F229" s="43"/>
      <c r="G229" s="44"/>
      <c r="H229" s="45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4.25" customHeight="1">
      <c r="A230" s="42"/>
      <c r="B230" s="42"/>
      <c r="C230" s="41"/>
      <c r="D230" s="41"/>
      <c r="E230" s="41"/>
      <c r="F230" s="43"/>
      <c r="G230" s="44"/>
      <c r="H230" s="45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4.25" customHeight="1">
      <c r="A231" s="42"/>
      <c r="B231" s="42"/>
      <c r="C231" s="41"/>
      <c r="D231" s="41"/>
      <c r="E231" s="41"/>
      <c r="F231" s="43"/>
      <c r="G231" s="44"/>
      <c r="H231" s="45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4.25" customHeight="1">
      <c r="A232" s="42"/>
      <c r="B232" s="42"/>
      <c r="C232" s="41"/>
      <c r="D232" s="41"/>
      <c r="E232" s="41"/>
      <c r="F232" s="43"/>
      <c r="G232" s="44"/>
      <c r="H232" s="45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4.25" customHeight="1">
      <c r="A233" s="42"/>
      <c r="B233" s="42"/>
      <c r="C233" s="41"/>
      <c r="D233" s="41"/>
      <c r="E233" s="41"/>
      <c r="F233" s="43"/>
      <c r="G233" s="44"/>
      <c r="H233" s="45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4.25" customHeight="1">
      <c r="A234" s="42"/>
      <c r="B234" s="42"/>
      <c r="C234" s="41"/>
      <c r="D234" s="41"/>
      <c r="E234" s="41"/>
      <c r="F234" s="43"/>
      <c r="G234" s="44"/>
      <c r="H234" s="45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4.25" customHeight="1">
      <c r="A235" s="42"/>
      <c r="B235" s="42"/>
      <c r="C235" s="41"/>
      <c r="D235" s="41"/>
      <c r="E235" s="41"/>
      <c r="F235" s="43"/>
      <c r="G235" s="44"/>
      <c r="H235" s="45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4.25" customHeight="1">
      <c r="A236" s="42"/>
      <c r="B236" s="42"/>
      <c r="C236" s="41"/>
      <c r="D236" s="41"/>
      <c r="E236" s="41"/>
      <c r="F236" s="43"/>
      <c r="G236" s="44"/>
      <c r="H236" s="45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4.25" customHeight="1">
      <c r="A237" s="42"/>
      <c r="B237" s="42"/>
      <c r="C237" s="41"/>
      <c r="D237" s="41"/>
      <c r="E237" s="41"/>
      <c r="F237" s="43"/>
      <c r="G237" s="44"/>
      <c r="H237" s="45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4.25" customHeight="1">
      <c r="A238" s="42"/>
      <c r="B238" s="42"/>
      <c r="C238" s="41"/>
      <c r="D238" s="41"/>
      <c r="E238" s="41"/>
      <c r="F238" s="43"/>
      <c r="G238" s="44"/>
      <c r="H238" s="45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4.25" customHeight="1">
      <c r="A239" s="42"/>
      <c r="B239" s="42"/>
      <c r="C239" s="41"/>
      <c r="D239" s="41"/>
      <c r="E239" s="41"/>
      <c r="F239" s="43"/>
      <c r="G239" s="44"/>
      <c r="H239" s="45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4.25" customHeight="1">
      <c r="A240" s="42"/>
      <c r="B240" s="42"/>
      <c r="C240" s="41"/>
      <c r="D240" s="41"/>
      <c r="E240" s="41"/>
      <c r="F240" s="43"/>
      <c r="G240" s="44"/>
      <c r="H240" s="45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4.25" customHeight="1">
      <c r="A241" s="42"/>
      <c r="B241" s="42"/>
      <c r="C241" s="41"/>
      <c r="D241" s="41"/>
      <c r="E241" s="41"/>
      <c r="F241" s="43"/>
      <c r="G241" s="44"/>
      <c r="H241" s="45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4.25" customHeight="1">
      <c r="A242" s="42"/>
      <c r="B242" s="42"/>
      <c r="C242" s="41"/>
      <c r="D242" s="41"/>
      <c r="E242" s="41"/>
      <c r="F242" s="43"/>
      <c r="G242" s="44"/>
      <c r="H242" s="45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4.25" customHeight="1">
      <c r="A243" s="42"/>
      <c r="B243" s="42"/>
      <c r="C243" s="41"/>
      <c r="D243" s="41"/>
      <c r="E243" s="41"/>
      <c r="F243" s="43"/>
      <c r="G243" s="44"/>
      <c r="H243" s="45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4.25" customHeight="1">
      <c r="A244" s="42"/>
      <c r="B244" s="42"/>
      <c r="C244" s="41"/>
      <c r="D244" s="41"/>
      <c r="E244" s="41"/>
      <c r="F244" s="43"/>
      <c r="G244" s="44"/>
      <c r="H244" s="45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4.25" customHeight="1">
      <c r="A245" s="42"/>
      <c r="B245" s="42"/>
      <c r="C245" s="41"/>
      <c r="D245" s="41"/>
      <c r="E245" s="41"/>
      <c r="F245" s="43"/>
      <c r="G245" s="44"/>
      <c r="H245" s="45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4.25" customHeight="1">
      <c r="A246" s="42"/>
      <c r="B246" s="42"/>
      <c r="C246" s="41"/>
      <c r="D246" s="41"/>
      <c r="E246" s="41"/>
      <c r="F246" s="43"/>
      <c r="G246" s="44"/>
      <c r="H246" s="45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4.25" customHeight="1">
      <c r="A247" s="42"/>
      <c r="B247" s="42"/>
      <c r="C247" s="41"/>
      <c r="D247" s="41"/>
      <c r="E247" s="41"/>
      <c r="F247" s="43"/>
      <c r="G247" s="44"/>
      <c r="H247" s="45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4.25" customHeight="1">
      <c r="A248" s="42"/>
      <c r="B248" s="42"/>
      <c r="C248" s="41"/>
      <c r="D248" s="41"/>
      <c r="E248" s="41"/>
      <c r="F248" s="43"/>
      <c r="G248" s="44"/>
      <c r="H248" s="45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4.25" customHeight="1">
      <c r="A249" s="42"/>
      <c r="B249" s="42"/>
      <c r="C249" s="41"/>
      <c r="D249" s="41"/>
      <c r="E249" s="41"/>
      <c r="F249" s="43"/>
      <c r="G249" s="44"/>
      <c r="H249" s="45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4.25" customHeight="1">
      <c r="A250" s="42"/>
      <c r="B250" s="42"/>
      <c r="C250" s="41"/>
      <c r="D250" s="41"/>
      <c r="E250" s="41"/>
      <c r="F250" s="43"/>
      <c r="G250" s="44"/>
      <c r="H250" s="45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4.25" customHeight="1">
      <c r="A251" s="42"/>
      <c r="B251" s="42"/>
      <c r="C251" s="41"/>
      <c r="D251" s="41"/>
      <c r="E251" s="41"/>
      <c r="F251" s="43"/>
      <c r="G251" s="44"/>
      <c r="H251" s="45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4.25" customHeight="1">
      <c r="A252" s="42"/>
      <c r="B252" s="42"/>
      <c r="C252" s="41"/>
      <c r="D252" s="41"/>
      <c r="E252" s="41"/>
      <c r="F252" s="43"/>
      <c r="G252" s="44"/>
      <c r="H252" s="45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4.25" customHeight="1">
      <c r="A253" s="42"/>
      <c r="B253" s="42"/>
      <c r="C253" s="41"/>
      <c r="D253" s="41"/>
      <c r="E253" s="41"/>
      <c r="F253" s="43"/>
      <c r="G253" s="44"/>
      <c r="H253" s="45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4.25" customHeight="1">
      <c r="A254" s="42"/>
      <c r="B254" s="42"/>
      <c r="C254" s="41"/>
      <c r="D254" s="41"/>
      <c r="E254" s="41"/>
      <c r="F254" s="43"/>
      <c r="G254" s="44"/>
      <c r="H254" s="45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4.25" customHeight="1">
      <c r="A255" s="42"/>
      <c r="B255" s="42"/>
      <c r="C255" s="41"/>
      <c r="D255" s="41"/>
      <c r="E255" s="41"/>
      <c r="F255" s="43"/>
      <c r="G255" s="44"/>
      <c r="H255" s="45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4.25" customHeight="1">
      <c r="A256" s="42"/>
      <c r="B256" s="42"/>
      <c r="C256" s="41"/>
      <c r="D256" s="41"/>
      <c r="E256" s="41"/>
      <c r="F256" s="43"/>
      <c r="G256" s="44"/>
      <c r="H256" s="45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4.25" customHeight="1">
      <c r="A257" s="42"/>
      <c r="B257" s="42"/>
      <c r="C257" s="41"/>
      <c r="D257" s="41"/>
      <c r="E257" s="41"/>
      <c r="F257" s="43"/>
      <c r="G257" s="44"/>
      <c r="H257" s="45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4.25" customHeight="1">
      <c r="A258" s="42"/>
      <c r="B258" s="42"/>
      <c r="C258" s="41"/>
      <c r="D258" s="41"/>
      <c r="E258" s="41"/>
      <c r="F258" s="43"/>
      <c r="G258" s="44"/>
      <c r="H258" s="45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4.25" customHeight="1">
      <c r="A259" s="42"/>
      <c r="B259" s="42"/>
      <c r="C259" s="41"/>
      <c r="D259" s="41"/>
      <c r="E259" s="41"/>
      <c r="F259" s="43"/>
      <c r="G259" s="44"/>
      <c r="H259" s="45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4.25" customHeight="1">
      <c r="A260" s="42"/>
      <c r="B260" s="42"/>
      <c r="C260" s="41"/>
      <c r="D260" s="41"/>
      <c r="E260" s="41"/>
      <c r="F260" s="43"/>
      <c r="G260" s="44"/>
      <c r="H260" s="45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4.25" customHeight="1">
      <c r="A261" s="42"/>
      <c r="B261" s="42"/>
      <c r="C261" s="41"/>
      <c r="D261" s="41"/>
      <c r="E261" s="41"/>
      <c r="F261" s="43"/>
      <c r="G261" s="44"/>
      <c r="H261" s="45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4.25" customHeight="1">
      <c r="A262" s="42"/>
      <c r="B262" s="42"/>
      <c r="C262" s="41"/>
      <c r="D262" s="41"/>
      <c r="E262" s="41"/>
      <c r="F262" s="43"/>
      <c r="G262" s="44"/>
      <c r="H262" s="45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4.25" customHeight="1">
      <c r="A263" s="42"/>
      <c r="B263" s="42"/>
      <c r="C263" s="41"/>
      <c r="D263" s="41"/>
      <c r="E263" s="41"/>
      <c r="F263" s="43"/>
      <c r="G263" s="44"/>
      <c r="H263" s="45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4.25" customHeight="1">
      <c r="A264" s="42"/>
      <c r="B264" s="42"/>
      <c r="C264" s="41"/>
      <c r="D264" s="41"/>
      <c r="E264" s="41"/>
      <c r="F264" s="43"/>
      <c r="G264" s="44"/>
      <c r="H264" s="45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4.25" customHeight="1">
      <c r="A265" s="42"/>
      <c r="B265" s="42"/>
      <c r="C265" s="41"/>
      <c r="D265" s="41"/>
      <c r="E265" s="41"/>
      <c r="F265" s="43"/>
      <c r="G265" s="44"/>
      <c r="H265" s="45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4.25" customHeight="1">
      <c r="A266" s="42"/>
      <c r="B266" s="42"/>
      <c r="C266" s="41"/>
      <c r="D266" s="41"/>
      <c r="E266" s="41"/>
      <c r="F266" s="43"/>
      <c r="G266" s="44"/>
      <c r="H266" s="45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4.25" customHeight="1">
      <c r="A267" s="42"/>
      <c r="B267" s="42"/>
      <c r="C267" s="41"/>
      <c r="D267" s="41"/>
      <c r="E267" s="41"/>
      <c r="F267" s="43"/>
      <c r="G267" s="44"/>
      <c r="H267" s="45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4.25" customHeight="1">
      <c r="A268" s="42"/>
      <c r="B268" s="42"/>
      <c r="C268" s="41"/>
      <c r="D268" s="41"/>
      <c r="E268" s="41"/>
      <c r="F268" s="43"/>
      <c r="G268" s="44"/>
      <c r="H268" s="45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4.25" customHeight="1">
      <c r="A269" s="42"/>
      <c r="B269" s="42"/>
      <c r="C269" s="41"/>
      <c r="D269" s="41"/>
      <c r="E269" s="41"/>
      <c r="F269" s="43"/>
      <c r="G269" s="44"/>
      <c r="H269" s="45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4.25" customHeight="1">
      <c r="A270" s="42"/>
      <c r="B270" s="42"/>
      <c r="C270" s="41"/>
      <c r="D270" s="41"/>
      <c r="E270" s="41"/>
      <c r="F270" s="43"/>
      <c r="G270" s="44"/>
      <c r="H270" s="45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4.25" customHeight="1">
      <c r="A271" s="42"/>
      <c r="B271" s="42"/>
      <c r="C271" s="41"/>
      <c r="D271" s="41"/>
      <c r="E271" s="41"/>
      <c r="F271" s="43"/>
      <c r="G271" s="44"/>
      <c r="H271" s="45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4.25" customHeight="1">
      <c r="A272" s="42"/>
      <c r="B272" s="42"/>
      <c r="C272" s="41"/>
      <c r="D272" s="41"/>
      <c r="E272" s="41"/>
      <c r="F272" s="43"/>
      <c r="G272" s="44"/>
      <c r="H272" s="45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4.25" customHeight="1">
      <c r="A273" s="42"/>
      <c r="B273" s="42"/>
      <c r="C273" s="41"/>
      <c r="D273" s="41"/>
      <c r="E273" s="41"/>
      <c r="F273" s="43"/>
      <c r="G273" s="44"/>
      <c r="H273" s="45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4.25" customHeight="1">
      <c r="A274" s="42"/>
      <c r="B274" s="42"/>
      <c r="C274" s="41"/>
      <c r="D274" s="41"/>
      <c r="E274" s="41"/>
      <c r="F274" s="43"/>
      <c r="G274" s="44"/>
      <c r="H274" s="45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4.25" customHeight="1">
      <c r="A275" s="42"/>
      <c r="B275" s="42"/>
      <c r="C275" s="41"/>
      <c r="D275" s="41"/>
      <c r="E275" s="41"/>
      <c r="F275" s="43"/>
      <c r="G275" s="44"/>
      <c r="H275" s="45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4.25" customHeight="1">
      <c r="A276" s="42"/>
      <c r="B276" s="42"/>
      <c r="C276" s="41"/>
      <c r="D276" s="41"/>
      <c r="E276" s="41"/>
      <c r="F276" s="43"/>
      <c r="G276" s="44"/>
      <c r="H276" s="45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4.25" customHeight="1">
      <c r="A277" s="42"/>
      <c r="B277" s="42"/>
      <c r="C277" s="41"/>
      <c r="D277" s="41"/>
      <c r="E277" s="41"/>
      <c r="F277" s="43"/>
      <c r="G277" s="44"/>
      <c r="H277" s="45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4.25" customHeight="1">
      <c r="A278" s="42"/>
      <c r="B278" s="42"/>
      <c r="C278" s="41"/>
      <c r="D278" s="41"/>
      <c r="E278" s="41"/>
      <c r="F278" s="43"/>
      <c r="G278" s="44"/>
      <c r="H278" s="45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4.25" customHeight="1">
      <c r="A279" s="42"/>
      <c r="B279" s="42"/>
      <c r="C279" s="41"/>
      <c r="D279" s="41"/>
      <c r="E279" s="41"/>
      <c r="F279" s="43"/>
      <c r="G279" s="44"/>
      <c r="H279" s="45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4.25" customHeight="1">
      <c r="A280" s="42"/>
      <c r="B280" s="42"/>
      <c r="C280" s="41"/>
      <c r="D280" s="41"/>
      <c r="E280" s="41"/>
      <c r="F280" s="43"/>
      <c r="G280" s="44"/>
      <c r="H280" s="45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4.25" customHeight="1">
      <c r="A281" s="42"/>
      <c r="B281" s="42"/>
      <c r="C281" s="41"/>
      <c r="D281" s="41"/>
      <c r="E281" s="41"/>
      <c r="F281" s="43"/>
      <c r="G281" s="44"/>
      <c r="H281" s="45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4.25" customHeight="1">
      <c r="A282" s="42"/>
      <c r="B282" s="42"/>
      <c r="C282" s="41"/>
      <c r="D282" s="41"/>
      <c r="E282" s="41"/>
      <c r="F282" s="43"/>
      <c r="G282" s="44"/>
      <c r="H282" s="45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4.25" customHeight="1">
      <c r="A283" s="42"/>
      <c r="B283" s="42"/>
      <c r="C283" s="41"/>
      <c r="D283" s="41"/>
      <c r="E283" s="41"/>
      <c r="F283" s="43"/>
      <c r="G283" s="44"/>
      <c r="H283" s="45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4.25" customHeight="1">
      <c r="A284" s="42"/>
      <c r="B284" s="42"/>
      <c r="C284" s="41"/>
      <c r="D284" s="41"/>
      <c r="E284" s="41"/>
      <c r="F284" s="43"/>
      <c r="G284" s="44"/>
      <c r="H284" s="45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4.25" customHeight="1">
      <c r="A285" s="42"/>
      <c r="B285" s="42"/>
      <c r="C285" s="41"/>
      <c r="D285" s="41"/>
      <c r="E285" s="41"/>
      <c r="F285" s="43"/>
      <c r="G285" s="44"/>
      <c r="H285" s="45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4.25" customHeight="1">
      <c r="A286" s="42"/>
      <c r="B286" s="42"/>
      <c r="C286" s="41"/>
      <c r="D286" s="41"/>
      <c r="E286" s="41"/>
      <c r="F286" s="43"/>
      <c r="G286" s="44"/>
      <c r="H286" s="45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4.25" customHeight="1">
      <c r="A287" s="42"/>
      <c r="B287" s="42"/>
      <c r="C287" s="41"/>
      <c r="D287" s="41"/>
      <c r="E287" s="41"/>
      <c r="F287" s="43"/>
      <c r="G287" s="44"/>
      <c r="H287" s="45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4.25" customHeight="1">
      <c r="A288" s="42"/>
      <c r="B288" s="42"/>
      <c r="C288" s="41"/>
      <c r="D288" s="41"/>
      <c r="E288" s="41"/>
      <c r="F288" s="43"/>
      <c r="G288" s="44"/>
      <c r="H288" s="45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4.25" customHeight="1">
      <c r="A289" s="42"/>
      <c r="B289" s="42"/>
      <c r="C289" s="41"/>
      <c r="D289" s="41"/>
      <c r="E289" s="41"/>
      <c r="F289" s="43"/>
      <c r="G289" s="44"/>
      <c r="H289" s="45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4.25" customHeight="1">
      <c r="A290" s="42"/>
      <c r="B290" s="42"/>
      <c r="C290" s="41"/>
      <c r="D290" s="41"/>
      <c r="E290" s="41"/>
      <c r="F290" s="43"/>
      <c r="G290" s="44"/>
      <c r="H290" s="45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4.25" customHeight="1">
      <c r="A291" s="42"/>
      <c r="B291" s="42"/>
      <c r="C291" s="41"/>
      <c r="D291" s="41"/>
      <c r="E291" s="41"/>
      <c r="F291" s="43"/>
      <c r="G291" s="44"/>
      <c r="H291" s="45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4.25" customHeight="1">
      <c r="A292" s="42"/>
      <c r="B292" s="42"/>
      <c r="C292" s="41"/>
      <c r="D292" s="41"/>
      <c r="E292" s="41"/>
      <c r="F292" s="43"/>
      <c r="G292" s="44"/>
      <c r="H292" s="45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4.25" customHeight="1">
      <c r="A293" s="42"/>
      <c r="B293" s="42"/>
      <c r="C293" s="41"/>
      <c r="D293" s="41"/>
      <c r="E293" s="41"/>
      <c r="F293" s="43"/>
      <c r="G293" s="44"/>
      <c r="H293" s="45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4.25" customHeight="1">
      <c r="A294" s="42"/>
      <c r="B294" s="42"/>
      <c r="C294" s="41"/>
      <c r="D294" s="41"/>
      <c r="E294" s="41"/>
      <c r="F294" s="43"/>
      <c r="G294" s="44"/>
      <c r="H294" s="45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4.25" customHeight="1">
      <c r="A295" s="42"/>
      <c r="B295" s="42"/>
      <c r="C295" s="41"/>
      <c r="D295" s="41"/>
      <c r="E295" s="41"/>
      <c r="F295" s="43"/>
      <c r="G295" s="44"/>
      <c r="H295" s="45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4.25" customHeight="1">
      <c r="A296" s="42"/>
      <c r="B296" s="42"/>
      <c r="C296" s="41"/>
      <c r="D296" s="41"/>
      <c r="E296" s="41"/>
      <c r="F296" s="43"/>
      <c r="G296" s="44"/>
      <c r="H296" s="45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4.25" customHeight="1">
      <c r="A297" s="42"/>
      <c r="B297" s="42"/>
      <c r="C297" s="41"/>
      <c r="D297" s="41"/>
      <c r="E297" s="41"/>
      <c r="F297" s="43"/>
      <c r="G297" s="44"/>
      <c r="H297" s="45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4.25" customHeight="1">
      <c r="A298" s="42"/>
      <c r="B298" s="42"/>
      <c r="C298" s="41"/>
      <c r="D298" s="41"/>
      <c r="E298" s="41"/>
      <c r="F298" s="43"/>
      <c r="G298" s="44"/>
      <c r="H298" s="45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4.25" customHeight="1">
      <c r="A299" s="42"/>
      <c r="B299" s="42"/>
      <c r="C299" s="41"/>
      <c r="D299" s="41"/>
      <c r="E299" s="41"/>
      <c r="F299" s="43"/>
      <c r="G299" s="44"/>
      <c r="H299" s="45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4.25" customHeight="1">
      <c r="A300" s="42"/>
      <c r="B300" s="42"/>
      <c r="C300" s="41"/>
      <c r="D300" s="41"/>
      <c r="E300" s="41"/>
      <c r="F300" s="43"/>
      <c r="G300" s="44"/>
      <c r="H300" s="45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4.25" customHeight="1">
      <c r="A301" s="42"/>
      <c r="B301" s="42"/>
      <c r="C301" s="41"/>
      <c r="D301" s="41"/>
      <c r="E301" s="41"/>
      <c r="F301" s="43"/>
      <c r="G301" s="44"/>
      <c r="H301" s="45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4.25" customHeight="1">
      <c r="A302" s="42"/>
      <c r="B302" s="42"/>
      <c r="C302" s="41"/>
      <c r="D302" s="41"/>
      <c r="E302" s="41"/>
      <c r="F302" s="43"/>
      <c r="G302" s="44"/>
      <c r="H302" s="45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4.25" customHeight="1">
      <c r="A303" s="42"/>
      <c r="B303" s="42"/>
      <c r="C303" s="41"/>
      <c r="D303" s="41"/>
      <c r="E303" s="41"/>
      <c r="F303" s="43"/>
      <c r="G303" s="44"/>
      <c r="H303" s="45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4.25" customHeight="1">
      <c r="A304" s="42"/>
      <c r="B304" s="42"/>
      <c r="C304" s="41"/>
      <c r="D304" s="41"/>
      <c r="E304" s="41"/>
      <c r="F304" s="43"/>
      <c r="G304" s="44"/>
      <c r="H304" s="45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4.25" customHeight="1">
      <c r="A305" s="42"/>
      <c r="B305" s="42"/>
      <c r="C305" s="41"/>
      <c r="D305" s="41"/>
      <c r="E305" s="41"/>
      <c r="F305" s="43"/>
      <c r="G305" s="44"/>
      <c r="H305" s="45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4.25" customHeight="1">
      <c r="A306" s="42"/>
      <c r="B306" s="42"/>
      <c r="C306" s="41"/>
      <c r="D306" s="41"/>
      <c r="E306" s="41"/>
      <c r="F306" s="43"/>
      <c r="G306" s="44"/>
      <c r="H306" s="45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4.25" customHeight="1">
      <c r="A307" s="42"/>
      <c r="B307" s="42"/>
      <c r="C307" s="41"/>
      <c r="D307" s="41"/>
      <c r="E307" s="41"/>
      <c r="F307" s="43"/>
      <c r="G307" s="44"/>
      <c r="H307" s="45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4.25" customHeight="1">
      <c r="A308" s="42"/>
      <c r="B308" s="42"/>
      <c r="C308" s="41"/>
      <c r="D308" s="41"/>
      <c r="E308" s="41"/>
      <c r="F308" s="43"/>
      <c r="G308" s="44"/>
      <c r="H308" s="45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4.25" customHeight="1">
      <c r="A309" s="42"/>
      <c r="B309" s="42"/>
      <c r="C309" s="41"/>
      <c r="D309" s="41"/>
      <c r="E309" s="41"/>
      <c r="F309" s="43"/>
      <c r="G309" s="44"/>
      <c r="H309" s="45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4.25" customHeight="1">
      <c r="A310" s="42"/>
      <c r="B310" s="42"/>
      <c r="C310" s="41"/>
      <c r="D310" s="41"/>
      <c r="E310" s="41"/>
      <c r="F310" s="43"/>
      <c r="G310" s="44"/>
      <c r="H310" s="45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4.25" customHeight="1">
      <c r="A311" s="42"/>
      <c r="B311" s="42"/>
      <c r="C311" s="41"/>
      <c r="D311" s="41"/>
      <c r="E311" s="41"/>
      <c r="F311" s="43"/>
      <c r="G311" s="44"/>
      <c r="H311" s="45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4.25" customHeight="1">
      <c r="A312" s="42"/>
      <c r="B312" s="42"/>
      <c r="C312" s="41"/>
      <c r="D312" s="41"/>
      <c r="E312" s="41"/>
      <c r="F312" s="43"/>
      <c r="G312" s="44"/>
      <c r="H312" s="45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4.25" customHeight="1">
      <c r="A313" s="42"/>
      <c r="B313" s="42"/>
      <c r="C313" s="41"/>
      <c r="D313" s="41"/>
      <c r="E313" s="41"/>
      <c r="F313" s="43"/>
      <c r="G313" s="44"/>
      <c r="H313" s="45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4.25" customHeight="1">
      <c r="A314" s="42"/>
      <c r="B314" s="42"/>
      <c r="C314" s="41"/>
      <c r="D314" s="41"/>
      <c r="E314" s="41"/>
      <c r="F314" s="43"/>
      <c r="G314" s="44"/>
      <c r="H314" s="45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4.25" customHeight="1">
      <c r="A315" s="42"/>
      <c r="B315" s="42"/>
      <c r="C315" s="41"/>
      <c r="D315" s="41"/>
      <c r="E315" s="41"/>
      <c r="F315" s="43"/>
      <c r="G315" s="44"/>
      <c r="H315" s="45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4.25" customHeight="1">
      <c r="A316" s="42"/>
      <c r="B316" s="42"/>
      <c r="C316" s="41"/>
      <c r="D316" s="41"/>
      <c r="E316" s="41"/>
      <c r="F316" s="43"/>
      <c r="G316" s="44"/>
      <c r="H316" s="45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4.25" customHeight="1">
      <c r="A317" s="42"/>
      <c r="B317" s="42"/>
      <c r="C317" s="41"/>
      <c r="D317" s="41"/>
      <c r="E317" s="41"/>
      <c r="F317" s="43"/>
      <c r="G317" s="44"/>
      <c r="H317" s="45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4.25" customHeight="1">
      <c r="A318" s="42"/>
      <c r="B318" s="42"/>
      <c r="C318" s="41"/>
      <c r="D318" s="41"/>
      <c r="E318" s="41"/>
      <c r="F318" s="43"/>
      <c r="G318" s="44"/>
      <c r="H318" s="45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4.25" customHeight="1">
      <c r="A319" s="42"/>
      <c r="B319" s="42"/>
      <c r="C319" s="41"/>
      <c r="D319" s="41"/>
      <c r="E319" s="41"/>
      <c r="F319" s="43"/>
      <c r="G319" s="44"/>
      <c r="H319" s="45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4.25" customHeight="1">
      <c r="A320" s="42"/>
      <c r="B320" s="42"/>
      <c r="C320" s="41"/>
      <c r="D320" s="41"/>
      <c r="E320" s="41"/>
      <c r="F320" s="43"/>
      <c r="G320" s="44"/>
      <c r="H320" s="45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4.25" customHeight="1">
      <c r="A321" s="42"/>
      <c r="B321" s="42"/>
      <c r="C321" s="41"/>
      <c r="D321" s="41"/>
      <c r="E321" s="41"/>
      <c r="F321" s="43"/>
      <c r="G321" s="44"/>
      <c r="H321" s="45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4.25" customHeight="1">
      <c r="A322" s="42"/>
      <c r="B322" s="42"/>
      <c r="C322" s="41"/>
      <c r="D322" s="41"/>
      <c r="E322" s="41"/>
      <c r="F322" s="43"/>
      <c r="G322" s="44"/>
      <c r="H322" s="45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4.25" customHeight="1">
      <c r="A323" s="42"/>
      <c r="B323" s="42"/>
      <c r="C323" s="41"/>
      <c r="D323" s="41"/>
      <c r="E323" s="41"/>
      <c r="F323" s="43"/>
      <c r="G323" s="44"/>
      <c r="H323" s="45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4.25" customHeight="1">
      <c r="A324" s="42"/>
      <c r="B324" s="42"/>
      <c r="C324" s="41"/>
      <c r="D324" s="41"/>
      <c r="E324" s="41"/>
      <c r="F324" s="43"/>
      <c r="G324" s="44"/>
      <c r="H324" s="45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4.25" customHeight="1">
      <c r="A325" s="42"/>
      <c r="B325" s="42"/>
      <c r="C325" s="41"/>
      <c r="D325" s="41"/>
      <c r="E325" s="41"/>
      <c r="F325" s="43"/>
      <c r="G325" s="44"/>
      <c r="H325" s="45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4.25" customHeight="1">
      <c r="A326" s="42"/>
      <c r="B326" s="42"/>
      <c r="C326" s="41"/>
      <c r="D326" s="41"/>
      <c r="E326" s="41"/>
      <c r="F326" s="43"/>
      <c r="G326" s="44"/>
      <c r="H326" s="45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4.25" customHeight="1">
      <c r="A327" s="42"/>
      <c r="B327" s="42"/>
      <c r="C327" s="41"/>
      <c r="D327" s="41"/>
      <c r="E327" s="41"/>
      <c r="F327" s="43"/>
      <c r="G327" s="44"/>
      <c r="H327" s="45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4.25" customHeight="1">
      <c r="A328" s="42"/>
      <c r="B328" s="42"/>
      <c r="C328" s="41"/>
      <c r="D328" s="41"/>
      <c r="E328" s="41"/>
      <c r="F328" s="43"/>
      <c r="G328" s="44"/>
      <c r="H328" s="45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4.25" customHeight="1">
      <c r="A329" s="42"/>
      <c r="B329" s="42"/>
      <c r="C329" s="41"/>
      <c r="D329" s="41"/>
      <c r="E329" s="41"/>
      <c r="F329" s="43"/>
      <c r="G329" s="44"/>
      <c r="H329" s="45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4.25" customHeight="1">
      <c r="A330" s="42"/>
      <c r="B330" s="42"/>
      <c r="C330" s="41"/>
      <c r="D330" s="41"/>
      <c r="E330" s="41"/>
      <c r="F330" s="43"/>
      <c r="G330" s="44"/>
      <c r="H330" s="45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4.25" customHeight="1">
      <c r="A331" s="42"/>
      <c r="B331" s="42"/>
      <c r="C331" s="41"/>
      <c r="D331" s="41"/>
      <c r="E331" s="41"/>
      <c r="F331" s="43"/>
      <c r="G331" s="44"/>
      <c r="H331" s="45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4.25" customHeight="1">
      <c r="A332" s="42"/>
      <c r="B332" s="42"/>
      <c r="C332" s="41"/>
      <c r="D332" s="41"/>
      <c r="E332" s="41"/>
      <c r="F332" s="43"/>
      <c r="G332" s="44"/>
      <c r="H332" s="45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4.25" customHeight="1">
      <c r="A333" s="42"/>
      <c r="B333" s="42"/>
      <c r="C333" s="41"/>
      <c r="D333" s="41"/>
      <c r="E333" s="41"/>
      <c r="F333" s="43"/>
      <c r="G333" s="44"/>
      <c r="H333" s="45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4.25" customHeight="1">
      <c r="A334" s="42"/>
      <c r="B334" s="42"/>
      <c r="C334" s="41"/>
      <c r="D334" s="41"/>
      <c r="E334" s="41"/>
      <c r="F334" s="43"/>
      <c r="G334" s="44"/>
      <c r="H334" s="45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4.25" customHeight="1">
      <c r="A335" s="42"/>
      <c r="B335" s="42"/>
      <c r="C335" s="41"/>
      <c r="D335" s="41"/>
      <c r="E335" s="41"/>
      <c r="F335" s="43"/>
      <c r="G335" s="44"/>
      <c r="H335" s="45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4.25" customHeight="1">
      <c r="A336" s="42"/>
      <c r="B336" s="42"/>
      <c r="C336" s="41"/>
      <c r="D336" s="41"/>
      <c r="E336" s="41"/>
      <c r="F336" s="43"/>
      <c r="G336" s="44"/>
      <c r="H336" s="45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4.25" customHeight="1">
      <c r="A337" s="42"/>
      <c r="B337" s="42"/>
      <c r="C337" s="41"/>
      <c r="D337" s="41"/>
      <c r="E337" s="41"/>
      <c r="F337" s="43"/>
      <c r="G337" s="44"/>
      <c r="H337" s="45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4.25" customHeight="1">
      <c r="A338" s="42"/>
      <c r="B338" s="42"/>
      <c r="C338" s="41"/>
      <c r="D338" s="41"/>
      <c r="E338" s="41"/>
      <c r="F338" s="43"/>
      <c r="G338" s="44"/>
      <c r="H338" s="45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4.25" customHeight="1">
      <c r="A339" s="42"/>
      <c r="B339" s="42"/>
      <c r="C339" s="41"/>
      <c r="D339" s="41"/>
      <c r="E339" s="41"/>
      <c r="F339" s="43"/>
      <c r="G339" s="44"/>
      <c r="H339" s="45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4.25" customHeight="1">
      <c r="A340" s="42"/>
      <c r="B340" s="42"/>
      <c r="C340" s="41"/>
      <c r="D340" s="41"/>
      <c r="E340" s="41"/>
      <c r="F340" s="43"/>
      <c r="G340" s="44"/>
      <c r="H340" s="45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4.25" customHeight="1">
      <c r="A341" s="42"/>
      <c r="B341" s="42"/>
      <c r="C341" s="41"/>
      <c r="D341" s="41"/>
      <c r="E341" s="41"/>
      <c r="F341" s="43"/>
      <c r="G341" s="44"/>
      <c r="H341" s="45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4.25" customHeight="1">
      <c r="A342" s="42"/>
      <c r="B342" s="42"/>
      <c r="C342" s="41"/>
      <c r="D342" s="41"/>
      <c r="E342" s="41"/>
      <c r="F342" s="43"/>
      <c r="G342" s="44"/>
      <c r="H342" s="45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4.25" customHeight="1">
      <c r="A343" s="42"/>
      <c r="B343" s="42"/>
      <c r="C343" s="41"/>
      <c r="D343" s="41"/>
      <c r="E343" s="41"/>
      <c r="F343" s="43"/>
      <c r="G343" s="44"/>
      <c r="H343" s="45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4.25" customHeight="1">
      <c r="A344" s="42"/>
      <c r="B344" s="42"/>
      <c r="C344" s="41"/>
      <c r="D344" s="41"/>
      <c r="E344" s="41"/>
      <c r="F344" s="43"/>
      <c r="G344" s="44"/>
      <c r="H344" s="45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4.25" customHeight="1">
      <c r="A345" s="42"/>
      <c r="B345" s="42"/>
      <c r="C345" s="41"/>
      <c r="D345" s="41"/>
      <c r="E345" s="41"/>
      <c r="F345" s="43"/>
      <c r="G345" s="44"/>
      <c r="H345" s="45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4.25" customHeight="1">
      <c r="A346" s="42"/>
      <c r="B346" s="42"/>
      <c r="C346" s="41"/>
      <c r="D346" s="41"/>
      <c r="E346" s="41"/>
      <c r="F346" s="43"/>
      <c r="G346" s="44"/>
      <c r="H346" s="45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4.25" customHeight="1">
      <c r="A347" s="42"/>
      <c r="B347" s="42"/>
      <c r="C347" s="41"/>
      <c r="D347" s="41"/>
      <c r="E347" s="41"/>
      <c r="F347" s="43"/>
      <c r="G347" s="44"/>
      <c r="H347" s="45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4.25" customHeight="1">
      <c r="A348" s="42"/>
      <c r="B348" s="42"/>
      <c r="C348" s="41"/>
      <c r="D348" s="41"/>
      <c r="E348" s="41"/>
      <c r="F348" s="43"/>
      <c r="G348" s="44"/>
      <c r="H348" s="45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4.25" customHeight="1">
      <c r="A349" s="42"/>
      <c r="B349" s="42"/>
      <c r="C349" s="41"/>
      <c r="D349" s="41"/>
      <c r="E349" s="41"/>
      <c r="F349" s="43"/>
      <c r="G349" s="44"/>
      <c r="H349" s="45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4.25" customHeight="1">
      <c r="A350" s="42"/>
      <c r="B350" s="42"/>
      <c r="C350" s="41"/>
      <c r="D350" s="41"/>
      <c r="E350" s="41"/>
      <c r="F350" s="43"/>
      <c r="G350" s="44"/>
      <c r="H350" s="45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4.25" customHeight="1">
      <c r="A351" s="42"/>
      <c r="B351" s="42"/>
      <c r="C351" s="41"/>
      <c r="D351" s="41"/>
      <c r="E351" s="41"/>
      <c r="F351" s="43"/>
      <c r="G351" s="44"/>
      <c r="H351" s="45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4.25" customHeight="1">
      <c r="A352" s="42"/>
      <c r="B352" s="42"/>
      <c r="C352" s="41"/>
      <c r="D352" s="41"/>
      <c r="E352" s="41"/>
      <c r="F352" s="43"/>
      <c r="G352" s="44"/>
      <c r="H352" s="45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4.25" customHeight="1">
      <c r="A353" s="42"/>
      <c r="B353" s="42"/>
      <c r="C353" s="41"/>
      <c r="D353" s="41"/>
      <c r="E353" s="41"/>
      <c r="F353" s="43"/>
      <c r="G353" s="44"/>
      <c r="H353" s="45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4.25" customHeight="1">
      <c r="A354" s="42"/>
      <c r="B354" s="42"/>
      <c r="C354" s="41"/>
      <c r="D354" s="41"/>
      <c r="E354" s="41"/>
      <c r="F354" s="43"/>
      <c r="G354" s="44"/>
      <c r="H354" s="45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4.25" customHeight="1">
      <c r="A355" s="42"/>
      <c r="B355" s="42"/>
      <c r="C355" s="41"/>
      <c r="D355" s="41"/>
      <c r="E355" s="41"/>
      <c r="F355" s="43"/>
      <c r="G355" s="44"/>
      <c r="H355" s="45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4.25" customHeight="1">
      <c r="A356" s="42"/>
      <c r="B356" s="42"/>
      <c r="C356" s="41"/>
      <c r="D356" s="41"/>
      <c r="E356" s="41"/>
      <c r="F356" s="43"/>
      <c r="G356" s="44"/>
      <c r="H356" s="45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4.25" customHeight="1">
      <c r="A357" s="42"/>
      <c r="B357" s="42"/>
      <c r="C357" s="41"/>
      <c r="D357" s="41"/>
      <c r="E357" s="41"/>
      <c r="F357" s="43"/>
      <c r="G357" s="44"/>
      <c r="H357" s="45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4.25" customHeight="1">
      <c r="A358" s="42"/>
      <c r="B358" s="42"/>
      <c r="C358" s="41"/>
      <c r="D358" s="41"/>
      <c r="E358" s="41"/>
      <c r="F358" s="43"/>
      <c r="G358" s="44"/>
      <c r="H358" s="45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4.25" customHeight="1">
      <c r="A359" s="42"/>
      <c r="B359" s="42"/>
      <c r="C359" s="41"/>
      <c r="D359" s="41"/>
      <c r="E359" s="41"/>
      <c r="F359" s="43"/>
      <c r="G359" s="44"/>
      <c r="H359" s="45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4.25" customHeight="1">
      <c r="A360" s="42"/>
      <c r="B360" s="42"/>
      <c r="C360" s="41"/>
      <c r="D360" s="41"/>
      <c r="E360" s="41"/>
      <c r="F360" s="43"/>
      <c r="G360" s="44"/>
      <c r="H360" s="45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4.25" customHeight="1">
      <c r="A361" s="42"/>
      <c r="B361" s="42"/>
      <c r="C361" s="41"/>
      <c r="D361" s="41"/>
      <c r="E361" s="41"/>
      <c r="F361" s="43"/>
      <c r="G361" s="44"/>
      <c r="H361" s="45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4.25" customHeight="1">
      <c r="A362" s="42"/>
      <c r="B362" s="42"/>
      <c r="C362" s="41"/>
      <c r="D362" s="41"/>
      <c r="E362" s="41"/>
      <c r="F362" s="43"/>
      <c r="G362" s="44"/>
      <c r="H362" s="45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4.25" customHeight="1">
      <c r="A363" s="42"/>
      <c r="B363" s="42"/>
      <c r="C363" s="41"/>
      <c r="D363" s="41"/>
      <c r="E363" s="41"/>
      <c r="F363" s="43"/>
      <c r="G363" s="44"/>
      <c r="H363" s="45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4.25" customHeight="1">
      <c r="A364" s="42"/>
      <c r="B364" s="42"/>
      <c r="C364" s="41"/>
      <c r="D364" s="41"/>
      <c r="E364" s="41"/>
      <c r="F364" s="43"/>
      <c r="G364" s="44"/>
      <c r="H364" s="45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4.25" customHeight="1">
      <c r="A365" s="42"/>
      <c r="B365" s="42"/>
      <c r="C365" s="41"/>
      <c r="D365" s="41"/>
      <c r="E365" s="41"/>
      <c r="F365" s="43"/>
      <c r="G365" s="44"/>
      <c r="H365" s="45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4.25" customHeight="1">
      <c r="A366" s="42"/>
      <c r="B366" s="42"/>
      <c r="C366" s="41"/>
      <c r="D366" s="41"/>
      <c r="E366" s="41"/>
      <c r="F366" s="43"/>
      <c r="G366" s="44"/>
      <c r="H366" s="45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4.25" customHeight="1">
      <c r="A367" s="42"/>
      <c r="B367" s="42"/>
      <c r="C367" s="41"/>
      <c r="D367" s="41"/>
      <c r="E367" s="41"/>
      <c r="F367" s="43"/>
      <c r="G367" s="44"/>
      <c r="H367" s="45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4.25" customHeight="1">
      <c r="A368" s="42"/>
      <c r="B368" s="42"/>
      <c r="C368" s="41"/>
      <c r="D368" s="41"/>
      <c r="E368" s="41"/>
      <c r="F368" s="43"/>
      <c r="G368" s="44"/>
      <c r="H368" s="45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4.25" customHeight="1">
      <c r="A369" s="42"/>
      <c r="B369" s="42"/>
      <c r="C369" s="41"/>
      <c r="D369" s="41"/>
      <c r="E369" s="41"/>
      <c r="F369" s="43"/>
      <c r="G369" s="44"/>
      <c r="H369" s="45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4.25" customHeight="1">
      <c r="A370" s="42"/>
      <c r="B370" s="42"/>
      <c r="C370" s="41"/>
      <c r="D370" s="41"/>
      <c r="E370" s="41"/>
      <c r="F370" s="43"/>
      <c r="G370" s="44"/>
      <c r="H370" s="45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4.25" customHeight="1">
      <c r="A371" s="42"/>
      <c r="B371" s="42"/>
      <c r="C371" s="41"/>
      <c r="D371" s="41"/>
      <c r="E371" s="41"/>
      <c r="F371" s="43"/>
      <c r="G371" s="44"/>
      <c r="H371" s="45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4.25" customHeight="1">
      <c r="A372" s="42"/>
      <c r="B372" s="42"/>
      <c r="C372" s="41"/>
      <c r="D372" s="41"/>
      <c r="E372" s="41"/>
      <c r="F372" s="43"/>
      <c r="G372" s="44"/>
      <c r="H372" s="45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4.25" customHeight="1">
      <c r="A373" s="42"/>
      <c r="B373" s="42"/>
      <c r="C373" s="41"/>
      <c r="D373" s="41"/>
      <c r="E373" s="41"/>
      <c r="F373" s="43"/>
      <c r="G373" s="44"/>
      <c r="H373" s="45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4.25" customHeight="1">
      <c r="A374" s="42"/>
      <c r="B374" s="42"/>
      <c r="C374" s="41"/>
      <c r="D374" s="41"/>
      <c r="E374" s="41"/>
      <c r="F374" s="43"/>
      <c r="G374" s="44"/>
      <c r="H374" s="45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4.25" customHeight="1">
      <c r="A375" s="42"/>
      <c r="B375" s="42"/>
      <c r="C375" s="41"/>
      <c r="D375" s="41"/>
      <c r="E375" s="41"/>
      <c r="F375" s="43"/>
      <c r="G375" s="44"/>
      <c r="H375" s="45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4.25" customHeight="1">
      <c r="A376" s="42"/>
      <c r="B376" s="42"/>
      <c r="C376" s="41"/>
      <c r="D376" s="41"/>
      <c r="E376" s="41"/>
      <c r="F376" s="43"/>
      <c r="G376" s="44"/>
      <c r="H376" s="45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4.25" customHeight="1">
      <c r="A377" s="42"/>
      <c r="B377" s="42"/>
      <c r="C377" s="41"/>
      <c r="D377" s="41"/>
      <c r="E377" s="41"/>
      <c r="F377" s="43"/>
      <c r="G377" s="44"/>
      <c r="H377" s="45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4.25" customHeight="1">
      <c r="A378" s="42"/>
      <c r="B378" s="42"/>
      <c r="C378" s="41"/>
      <c r="D378" s="41"/>
      <c r="E378" s="41"/>
      <c r="F378" s="43"/>
      <c r="G378" s="44"/>
      <c r="H378" s="45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4.25" customHeight="1">
      <c r="A379" s="42"/>
      <c r="B379" s="42"/>
      <c r="C379" s="41"/>
      <c r="D379" s="41"/>
      <c r="E379" s="41"/>
      <c r="F379" s="43"/>
      <c r="G379" s="44"/>
      <c r="H379" s="45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4.25" customHeight="1">
      <c r="A380" s="42"/>
      <c r="B380" s="42"/>
      <c r="C380" s="41"/>
      <c r="D380" s="41"/>
      <c r="E380" s="41"/>
      <c r="F380" s="43"/>
      <c r="G380" s="44"/>
      <c r="H380" s="45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4.25" customHeight="1">
      <c r="A381" s="42"/>
      <c r="B381" s="42"/>
      <c r="C381" s="41"/>
      <c r="D381" s="41"/>
      <c r="E381" s="41"/>
      <c r="F381" s="43"/>
      <c r="G381" s="44"/>
      <c r="H381" s="45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4.25" customHeight="1">
      <c r="A382" s="42"/>
      <c r="B382" s="42"/>
      <c r="C382" s="41"/>
      <c r="D382" s="41"/>
      <c r="E382" s="41"/>
      <c r="F382" s="43"/>
      <c r="G382" s="44"/>
      <c r="H382" s="45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4.25" customHeight="1">
      <c r="A383" s="42"/>
      <c r="B383" s="42"/>
      <c r="C383" s="41"/>
      <c r="D383" s="41"/>
      <c r="E383" s="41"/>
      <c r="F383" s="43"/>
      <c r="G383" s="44"/>
      <c r="H383" s="45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4.25" customHeight="1">
      <c r="A384" s="42"/>
      <c r="B384" s="42"/>
      <c r="C384" s="41"/>
      <c r="D384" s="41"/>
      <c r="E384" s="41"/>
      <c r="F384" s="43"/>
      <c r="G384" s="44"/>
      <c r="H384" s="45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4.25" customHeight="1">
      <c r="A385" s="42"/>
      <c r="B385" s="42"/>
      <c r="C385" s="41"/>
      <c r="D385" s="41"/>
      <c r="E385" s="41"/>
      <c r="F385" s="43"/>
      <c r="G385" s="44"/>
      <c r="H385" s="45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4.25" customHeight="1">
      <c r="A386" s="42"/>
      <c r="B386" s="42"/>
      <c r="C386" s="41"/>
      <c r="D386" s="41"/>
      <c r="E386" s="41"/>
      <c r="F386" s="43"/>
      <c r="G386" s="44"/>
      <c r="H386" s="45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4.25" customHeight="1">
      <c r="A387" s="42"/>
      <c r="B387" s="42"/>
      <c r="C387" s="41"/>
      <c r="D387" s="41"/>
      <c r="E387" s="41"/>
      <c r="F387" s="43"/>
      <c r="G387" s="44"/>
      <c r="H387" s="45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4.25" customHeight="1">
      <c r="A388" s="42"/>
      <c r="B388" s="42"/>
      <c r="C388" s="41"/>
      <c r="D388" s="41"/>
      <c r="E388" s="41"/>
      <c r="F388" s="43"/>
      <c r="G388" s="44"/>
      <c r="H388" s="45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4.25" customHeight="1">
      <c r="A389" s="42"/>
      <c r="B389" s="42"/>
      <c r="C389" s="41"/>
      <c r="D389" s="41"/>
      <c r="E389" s="41"/>
      <c r="F389" s="43"/>
      <c r="G389" s="44"/>
      <c r="H389" s="45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4.25" customHeight="1">
      <c r="A390" s="42"/>
      <c r="B390" s="42"/>
      <c r="C390" s="41"/>
      <c r="D390" s="41"/>
      <c r="E390" s="41"/>
      <c r="F390" s="43"/>
      <c r="G390" s="44"/>
      <c r="H390" s="45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4.25" customHeight="1">
      <c r="A391" s="42"/>
      <c r="B391" s="42"/>
      <c r="C391" s="41"/>
      <c r="D391" s="41"/>
      <c r="E391" s="41"/>
      <c r="F391" s="43"/>
      <c r="G391" s="44"/>
      <c r="H391" s="45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4.25" customHeight="1">
      <c r="A392" s="42"/>
      <c r="B392" s="42"/>
      <c r="C392" s="41"/>
      <c r="D392" s="41"/>
      <c r="E392" s="41"/>
      <c r="F392" s="43"/>
      <c r="G392" s="44"/>
      <c r="H392" s="45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4.25" customHeight="1">
      <c r="A393" s="42"/>
      <c r="B393" s="42"/>
      <c r="C393" s="41"/>
      <c r="D393" s="41"/>
      <c r="E393" s="41"/>
      <c r="F393" s="43"/>
      <c r="G393" s="44"/>
      <c r="H393" s="45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4.25" customHeight="1">
      <c r="A394" s="42"/>
      <c r="B394" s="42"/>
      <c r="C394" s="41"/>
      <c r="D394" s="41"/>
      <c r="E394" s="41"/>
      <c r="F394" s="43"/>
      <c r="G394" s="44"/>
      <c r="H394" s="45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4.25" customHeight="1">
      <c r="A395" s="42"/>
      <c r="B395" s="42"/>
      <c r="C395" s="41"/>
      <c r="D395" s="41"/>
      <c r="E395" s="41"/>
      <c r="F395" s="43"/>
      <c r="G395" s="44"/>
      <c r="H395" s="45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4.25" customHeight="1">
      <c r="A396" s="42"/>
      <c r="B396" s="42"/>
      <c r="C396" s="41"/>
      <c r="D396" s="41"/>
      <c r="E396" s="41"/>
      <c r="F396" s="43"/>
      <c r="G396" s="44"/>
      <c r="H396" s="45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4.25" customHeight="1">
      <c r="A397" s="42"/>
      <c r="B397" s="42"/>
      <c r="C397" s="41"/>
      <c r="D397" s="41"/>
      <c r="E397" s="41"/>
      <c r="F397" s="43"/>
      <c r="G397" s="44"/>
      <c r="H397" s="45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4.25" customHeight="1">
      <c r="A398" s="42"/>
      <c r="B398" s="42"/>
      <c r="C398" s="41"/>
      <c r="D398" s="41"/>
      <c r="E398" s="41"/>
      <c r="F398" s="43"/>
      <c r="G398" s="44"/>
      <c r="H398" s="45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4.25" customHeight="1">
      <c r="A399" s="42"/>
      <c r="B399" s="42"/>
      <c r="C399" s="41"/>
      <c r="D399" s="41"/>
      <c r="E399" s="41"/>
      <c r="F399" s="43"/>
      <c r="G399" s="44"/>
      <c r="H399" s="45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4.25" customHeight="1">
      <c r="A400" s="42"/>
      <c r="B400" s="42"/>
      <c r="C400" s="41"/>
      <c r="D400" s="41"/>
      <c r="E400" s="41"/>
      <c r="F400" s="43"/>
      <c r="G400" s="44"/>
      <c r="H400" s="45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4.25" customHeight="1">
      <c r="A401" s="42"/>
      <c r="B401" s="42"/>
      <c r="C401" s="41"/>
      <c r="D401" s="41"/>
      <c r="E401" s="41"/>
      <c r="F401" s="43"/>
      <c r="G401" s="44"/>
      <c r="H401" s="45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4.25" customHeight="1">
      <c r="A402" s="42"/>
      <c r="B402" s="42"/>
      <c r="C402" s="41"/>
      <c r="D402" s="41"/>
      <c r="E402" s="41"/>
      <c r="F402" s="43"/>
      <c r="G402" s="44"/>
      <c r="H402" s="45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4.25" customHeight="1">
      <c r="A403" s="42"/>
      <c r="B403" s="42"/>
      <c r="C403" s="41"/>
      <c r="D403" s="41"/>
      <c r="E403" s="41"/>
      <c r="F403" s="43"/>
      <c r="G403" s="44"/>
      <c r="H403" s="45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4.25" customHeight="1">
      <c r="A404" s="42"/>
      <c r="B404" s="42"/>
      <c r="C404" s="41"/>
      <c r="D404" s="41"/>
      <c r="E404" s="41"/>
      <c r="F404" s="43"/>
      <c r="G404" s="44"/>
      <c r="H404" s="45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4.25" customHeight="1">
      <c r="A405" s="42"/>
      <c r="B405" s="42"/>
      <c r="C405" s="41"/>
      <c r="D405" s="41"/>
      <c r="E405" s="41"/>
      <c r="F405" s="43"/>
      <c r="G405" s="44"/>
      <c r="H405" s="45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4.25" customHeight="1">
      <c r="A406" s="42"/>
      <c r="B406" s="42"/>
      <c r="C406" s="41"/>
      <c r="D406" s="41"/>
      <c r="E406" s="41"/>
      <c r="F406" s="43"/>
      <c r="G406" s="44"/>
      <c r="H406" s="45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4.25" customHeight="1">
      <c r="A407" s="42"/>
      <c r="B407" s="42"/>
      <c r="C407" s="41"/>
      <c r="D407" s="41"/>
      <c r="E407" s="41"/>
      <c r="F407" s="43"/>
      <c r="G407" s="44"/>
      <c r="H407" s="45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4.25" customHeight="1">
      <c r="A408" s="42"/>
      <c r="B408" s="42"/>
      <c r="C408" s="41"/>
      <c r="D408" s="41"/>
      <c r="E408" s="41"/>
      <c r="F408" s="43"/>
      <c r="G408" s="44"/>
      <c r="H408" s="45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4.25" customHeight="1">
      <c r="A409" s="42"/>
      <c r="B409" s="42"/>
      <c r="C409" s="41"/>
      <c r="D409" s="41"/>
      <c r="E409" s="41"/>
      <c r="F409" s="43"/>
      <c r="G409" s="44"/>
      <c r="H409" s="45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4.25" customHeight="1">
      <c r="A410" s="42"/>
      <c r="B410" s="42"/>
      <c r="C410" s="41"/>
      <c r="D410" s="41"/>
      <c r="E410" s="41"/>
      <c r="F410" s="43"/>
      <c r="G410" s="44"/>
      <c r="H410" s="45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4.25" customHeight="1">
      <c r="A411" s="42"/>
      <c r="B411" s="42"/>
      <c r="C411" s="41"/>
      <c r="D411" s="41"/>
      <c r="E411" s="41"/>
      <c r="F411" s="43"/>
      <c r="G411" s="44"/>
      <c r="H411" s="45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4.25" customHeight="1">
      <c r="A412" s="42"/>
      <c r="B412" s="42"/>
      <c r="C412" s="41"/>
      <c r="D412" s="41"/>
      <c r="E412" s="41"/>
      <c r="F412" s="43"/>
      <c r="G412" s="44"/>
      <c r="H412" s="45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4.25" customHeight="1">
      <c r="A413" s="42"/>
      <c r="B413" s="42"/>
      <c r="C413" s="41"/>
      <c r="D413" s="41"/>
      <c r="E413" s="41"/>
      <c r="F413" s="43"/>
      <c r="G413" s="44"/>
      <c r="H413" s="45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4.25" customHeight="1">
      <c r="A414" s="42"/>
      <c r="B414" s="42"/>
      <c r="C414" s="41"/>
      <c r="D414" s="41"/>
      <c r="E414" s="41"/>
      <c r="F414" s="43"/>
      <c r="G414" s="44"/>
      <c r="H414" s="45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4.25" customHeight="1">
      <c r="A415" s="42"/>
      <c r="B415" s="42"/>
      <c r="C415" s="41"/>
      <c r="D415" s="41"/>
      <c r="E415" s="41"/>
      <c r="F415" s="43"/>
      <c r="G415" s="44"/>
      <c r="H415" s="45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4.25" customHeight="1">
      <c r="A416" s="42"/>
      <c r="B416" s="42"/>
      <c r="C416" s="41"/>
      <c r="D416" s="41"/>
      <c r="E416" s="41"/>
      <c r="F416" s="43"/>
      <c r="G416" s="44"/>
      <c r="H416" s="45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4.25" customHeight="1">
      <c r="A417" s="42"/>
      <c r="B417" s="42"/>
      <c r="C417" s="41"/>
      <c r="D417" s="41"/>
      <c r="E417" s="41"/>
      <c r="F417" s="43"/>
      <c r="G417" s="44"/>
      <c r="H417" s="45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4.25" customHeight="1">
      <c r="A418" s="42"/>
      <c r="B418" s="42"/>
      <c r="C418" s="41"/>
      <c r="D418" s="41"/>
      <c r="E418" s="41"/>
      <c r="F418" s="43"/>
      <c r="G418" s="44"/>
      <c r="H418" s="45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4.25" customHeight="1">
      <c r="A419" s="42"/>
      <c r="B419" s="42"/>
      <c r="C419" s="41"/>
      <c r="D419" s="41"/>
      <c r="E419" s="41"/>
      <c r="F419" s="43"/>
      <c r="G419" s="44"/>
      <c r="H419" s="45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4.25" customHeight="1">
      <c r="A420" s="42"/>
      <c r="B420" s="42"/>
      <c r="C420" s="41"/>
      <c r="D420" s="41"/>
      <c r="E420" s="41"/>
      <c r="F420" s="43"/>
      <c r="G420" s="44"/>
      <c r="H420" s="45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4.25" customHeight="1">
      <c r="A421" s="42"/>
      <c r="B421" s="42"/>
      <c r="C421" s="41"/>
      <c r="D421" s="41"/>
      <c r="E421" s="41"/>
      <c r="F421" s="43"/>
      <c r="G421" s="44"/>
      <c r="H421" s="45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4.25" customHeight="1">
      <c r="A422" s="42"/>
      <c r="B422" s="42"/>
      <c r="C422" s="41"/>
      <c r="D422" s="41"/>
      <c r="E422" s="41"/>
      <c r="F422" s="43"/>
      <c r="G422" s="44"/>
      <c r="H422" s="45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4.25" customHeight="1">
      <c r="A423" s="42"/>
      <c r="B423" s="42"/>
      <c r="C423" s="41"/>
      <c r="D423" s="41"/>
      <c r="E423" s="41"/>
      <c r="F423" s="43"/>
      <c r="G423" s="44"/>
      <c r="H423" s="45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4.25" customHeight="1">
      <c r="A424" s="42"/>
      <c r="B424" s="42"/>
      <c r="C424" s="41"/>
      <c r="D424" s="41"/>
      <c r="E424" s="41"/>
      <c r="F424" s="43"/>
      <c r="G424" s="44"/>
      <c r="H424" s="45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4.25" customHeight="1">
      <c r="A425" s="42"/>
      <c r="B425" s="42"/>
      <c r="C425" s="41"/>
      <c r="D425" s="41"/>
      <c r="E425" s="41"/>
      <c r="F425" s="43"/>
      <c r="G425" s="44"/>
      <c r="H425" s="45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4.25" customHeight="1">
      <c r="A426" s="42"/>
      <c r="B426" s="42"/>
      <c r="C426" s="41"/>
      <c r="D426" s="41"/>
      <c r="E426" s="41"/>
      <c r="F426" s="43"/>
      <c r="G426" s="44"/>
      <c r="H426" s="45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4.25" customHeight="1">
      <c r="A427" s="42"/>
      <c r="B427" s="42"/>
      <c r="C427" s="41"/>
      <c r="D427" s="41"/>
      <c r="E427" s="41"/>
      <c r="F427" s="43"/>
      <c r="G427" s="44"/>
      <c r="H427" s="45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4.25" customHeight="1">
      <c r="A428" s="42"/>
      <c r="B428" s="42"/>
      <c r="C428" s="41"/>
      <c r="D428" s="41"/>
      <c r="E428" s="41"/>
      <c r="F428" s="43"/>
      <c r="G428" s="44"/>
      <c r="H428" s="45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4.25" customHeight="1">
      <c r="A429" s="42"/>
      <c r="B429" s="42"/>
      <c r="C429" s="41"/>
      <c r="D429" s="41"/>
      <c r="E429" s="41"/>
      <c r="F429" s="43"/>
      <c r="G429" s="44"/>
      <c r="H429" s="45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4.25" customHeight="1">
      <c r="A430" s="42"/>
      <c r="B430" s="42"/>
      <c r="C430" s="41"/>
      <c r="D430" s="41"/>
      <c r="E430" s="41"/>
      <c r="F430" s="43"/>
      <c r="G430" s="44"/>
      <c r="H430" s="45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4.25" customHeight="1">
      <c r="A431" s="42"/>
      <c r="B431" s="42"/>
      <c r="C431" s="41"/>
      <c r="D431" s="41"/>
      <c r="E431" s="41"/>
      <c r="F431" s="43"/>
      <c r="G431" s="44"/>
      <c r="H431" s="45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4.25" customHeight="1">
      <c r="A432" s="42"/>
      <c r="B432" s="42"/>
      <c r="C432" s="41"/>
      <c r="D432" s="41"/>
      <c r="E432" s="41"/>
      <c r="F432" s="43"/>
      <c r="G432" s="44"/>
      <c r="H432" s="45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4.25" customHeight="1">
      <c r="A433" s="42"/>
      <c r="B433" s="42"/>
      <c r="C433" s="41"/>
      <c r="D433" s="41"/>
      <c r="E433" s="41"/>
      <c r="F433" s="43"/>
      <c r="G433" s="44"/>
      <c r="H433" s="45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4.25" customHeight="1">
      <c r="A434" s="42"/>
      <c r="B434" s="42"/>
      <c r="C434" s="41"/>
      <c r="D434" s="41"/>
      <c r="E434" s="41"/>
      <c r="F434" s="43"/>
      <c r="G434" s="44"/>
      <c r="H434" s="45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4.25" customHeight="1">
      <c r="A435" s="42"/>
      <c r="B435" s="42"/>
      <c r="C435" s="41"/>
      <c r="D435" s="41"/>
      <c r="E435" s="41"/>
      <c r="F435" s="43"/>
      <c r="G435" s="44"/>
      <c r="H435" s="45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4.25" customHeight="1">
      <c r="A436" s="42"/>
      <c r="B436" s="42"/>
      <c r="C436" s="41"/>
      <c r="D436" s="41"/>
      <c r="E436" s="41"/>
      <c r="F436" s="43"/>
      <c r="G436" s="44"/>
      <c r="H436" s="45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4.25" customHeight="1">
      <c r="A437" s="42"/>
      <c r="B437" s="42"/>
      <c r="C437" s="41"/>
      <c r="D437" s="41"/>
      <c r="E437" s="41"/>
      <c r="F437" s="43"/>
      <c r="G437" s="44"/>
      <c r="H437" s="45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4.25" customHeight="1">
      <c r="A438" s="42"/>
      <c r="B438" s="42"/>
      <c r="C438" s="41"/>
      <c r="D438" s="41"/>
      <c r="E438" s="41"/>
      <c r="F438" s="43"/>
      <c r="G438" s="44"/>
      <c r="H438" s="45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4.25" customHeight="1">
      <c r="A439" s="42"/>
      <c r="B439" s="42"/>
      <c r="C439" s="41"/>
      <c r="D439" s="41"/>
      <c r="E439" s="41"/>
      <c r="F439" s="43"/>
      <c r="G439" s="44"/>
      <c r="H439" s="45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4.25" customHeight="1">
      <c r="A440" s="42"/>
      <c r="B440" s="42"/>
      <c r="C440" s="41"/>
      <c r="D440" s="41"/>
      <c r="E440" s="41"/>
      <c r="F440" s="43"/>
      <c r="G440" s="44"/>
      <c r="H440" s="45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4.25" customHeight="1">
      <c r="A441" s="42"/>
      <c r="B441" s="42"/>
      <c r="C441" s="41"/>
      <c r="D441" s="41"/>
      <c r="E441" s="41"/>
      <c r="F441" s="43"/>
      <c r="G441" s="44"/>
      <c r="H441" s="45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4.25" customHeight="1">
      <c r="A442" s="42"/>
      <c r="B442" s="42"/>
      <c r="C442" s="41"/>
      <c r="D442" s="41"/>
      <c r="E442" s="41"/>
      <c r="F442" s="43"/>
      <c r="G442" s="44"/>
      <c r="H442" s="45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4.25" customHeight="1">
      <c r="A443" s="42"/>
      <c r="B443" s="42"/>
      <c r="C443" s="41"/>
      <c r="D443" s="41"/>
      <c r="E443" s="41"/>
      <c r="F443" s="43"/>
      <c r="G443" s="44"/>
      <c r="H443" s="45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4.25" customHeight="1">
      <c r="A444" s="42"/>
      <c r="B444" s="42"/>
      <c r="C444" s="41"/>
      <c r="D444" s="41"/>
      <c r="E444" s="41"/>
      <c r="F444" s="43"/>
      <c r="G444" s="44"/>
      <c r="H444" s="45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4.25" customHeight="1">
      <c r="A445" s="42"/>
      <c r="B445" s="42"/>
      <c r="C445" s="41"/>
      <c r="D445" s="41"/>
      <c r="E445" s="41"/>
      <c r="F445" s="43"/>
      <c r="G445" s="44"/>
      <c r="H445" s="45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4.25" customHeight="1">
      <c r="A446" s="42"/>
      <c r="B446" s="42"/>
      <c r="C446" s="41"/>
      <c r="D446" s="41"/>
      <c r="E446" s="41"/>
      <c r="F446" s="43"/>
      <c r="G446" s="44"/>
      <c r="H446" s="45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4.25" customHeight="1">
      <c r="A447" s="42"/>
      <c r="B447" s="42"/>
      <c r="C447" s="41"/>
      <c r="D447" s="41"/>
      <c r="E447" s="41"/>
      <c r="F447" s="43"/>
      <c r="G447" s="44"/>
      <c r="H447" s="45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4.25" customHeight="1">
      <c r="A448" s="42"/>
      <c r="B448" s="42"/>
      <c r="C448" s="41"/>
      <c r="D448" s="41"/>
      <c r="E448" s="41"/>
      <c r="F448" s="43"/>
      <c r="G448" s="44"/>
      <c r="H448" s="45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4.25" customHeight="1">
      <c r="A449" s="42"/>
      <c r="B449" s="42"/>
      <c r="C449" s="41"/>
      <c r="D449" s="41"/>
      <c r="E449" s="41"/>
      <c r="F449" s="43"/>
      <c r="G449" s="44"/>
      <c r="H449" s="45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4.25" customHeight="1">
      <c r="A450" s="42"/>
      <c r="B450" s="42"/>
      <c r="C450" s="41"/>
      <c r="D450" s="41"/>
      <c r="E450" s="41"/>
      <c r="F450" s="43"/>
      <c r="G450" s="44"/>
      <c r="H450" s="45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4.25" customHeight="1">
      <c r="A451" s="42"/>
      <c r="B451" s="42"/>
      <c r="C451" s="41"/>
      <c r="D451" s="41"/>
      <c r="E451" s="41"/>
      <c r="F451" s="43"/>
      <c r="G451" s="44"/>
      <c r="H451" s="45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4.25" customHeight="1">
      <c r="A452" s="42"/>
      <c r="B452" s="42"/>
      <c r="C452" s="41"/>
      <c r="D452" s="41"/>
      <c r="E452" s="41"/>
      <c r="F452" s="43"/>
      <c r="G452" s="44"/>
      <c r="H452" s="45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4.25" customHeight="1">
      <c r="A453" s="42"/>
      <c r="B453" s="42"/>
      <c r="C453" s="41"/>
      <c r="D453" s="41"/>
      <c r="E453" s="41"/>
      <c r="F453" s="43"/>
      <c r="G453" s="44"/>
      <c r="H453" s="45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4.25" customHeight="1">
      <c r="A454" s="42"/>
      <c r="B454" s="42"/>
      <c r="C454" s="41"/>
      <c r="D454" s="41"/>
      <c r="E454" s="41"/>
      <c r="F454" s="43"/>
      <c r="G454" s="44"/>
      <c r="H454" s="45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4.25" customHeight="1">
      <c r="A455" s="42"/>
      <c r="B455" s="42"/>
      <c r="C455" s="41"/>
      <c r="D455" s="41"/>
      <c r="E455" s="41"/>
      <c r="F455" s="43"/>
      <c r="G455" s="44"/>
      <c r="H455" s="45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4.25" customHeight="1">
      <c r="A456" s="42"/>
      <c r="B456" s="42"/>
      <c r="C456" s="41"/>
      <c r="D456" s="41"/>
      <c r="E456" s="41"/>
      <c r="F456" s="43"/>
      <c r="G456" s="44"/>
      <c r="H456" s="45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4.25" customHeight="1">
      <c r="A457" s="42"/>
      <c r="B457" s="42"/>
      <c r="C457" s="41"/>
      <c r="D457" s="41"/>
      <c r="E457" s="41"/>
      <c r="F457" s="43"/>
      <c r="G457" s="44"/>
      <c r="H457" s="45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4.25" customHeight="1">
      <c r="A458" s="42"/>
      <c r="B458" s="42"/>
      <c r="C458" s="41"/>
      <c r="D458" s="41"/>
      <c r="E458" s="41"/>
      <c r="F458" s="43"/>
      <c r="G458" s="44"/>
      <c r="H458" s="45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4.25" customHeight="1">
      <c r="A459" s="42"/>
      <c r="B459" s="42"/>
      <c r="C459" s="41"/>
      <c r="D459" s="41"/>
      <c r="E459" s="41"/>
      <c r="F459" s="43"/>
      <c r="G459" s="44"/>
      <c r="H459" s="45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4.25" customHeight="1">
      <c r="A460" s="42"/>
      <c r="B460" s="42"/>
      <c r="C460" s="41"/>
      <c r="D460" s="41"/>
      <c r="E460" s="41"/>
      <c r="F460" s="43"/>
      <c r="G460" s="44"/>
      <c r="H460" s="45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4.25" customHeight="1">
      <c r="A461" s="42"/>
      <c r="B461" s="42"/>
      <c r="C461" s="41"/>
      <c r="D461" s="41"/>
      <c r="E461" s="41"/>
      <c r="F461" s="43"/>
      <c r="G461" s="44"/>
      <c r="H461" s="45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4.25" customHeight="1">
      <c r="A462" s="42"/>
      <c r="B462" s="42"/>
      <c r="C462" s="41"/>
      <c r="D462" s="41"/>
      <c r="E462" s="41"/>
      <c r="F462" s="43"/>
      <c r="G462" s="44"/>
      <c r="H462" s="45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4.25" customHeight="1">
      <c r="A463" s="42"/>
      <c r="B463" s="42"/>
      <c r="C463" s="41"/>
      <c r="D463" s="41"/>
      <c r="E463" s="41"/>
      <c r="F463" s="43"/>
      <c r="G463" s="44"/>
      <c r="H463" s="45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4.25" customHeight="1">
      <c r="A464" s="42"/>
      <c r="B464" s="42"/>
      <c r="C464" s="41"/>
      <c r="D464" s="41"/>
      <c r="E464" s="41"/>
      <c r="F464" s="43"/>
      <c r="G464" s="44"/>
      <c r="H464" s="45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4.25" customHeight="1">
      <c r="A465" s="42"/>
      <c r="B465" s="42"/>
      <c r="C465" s="41"/>
      <c r="D465" s="41"/>
      <c r="E465" s="41"/>
      <c r="F465" s="43"/>
      <c r="G465" s="44"/>
      <c r="H465" s="45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4.25" customHeight="1">
      <c r="A466" s="42"/>
      <c r="B466" s="42"/>
      <c r="C466" s="41"/>
      <c r="D466" s="41"/>
      <c r="E466" s="41"/>
      <c r="F466" s="43"/>
      <c r="G466" s="44"/>
      <c r="H466" s="45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4.25" customHeight="1">
      <c r="A467" s="42"/>
      <c r="B467" s="42"/>
      <c r="C467" s="41"/>
      <c r="D467" s="41"/>
      <c r="E467" s="41"/>
      <c r="F467" s="43"/>
      <c r="G467" s="44"/>
      <c r="H467" s="45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4.25" customHeight="1">
      <c r="A468" s="42"/>
      <c r="B468" s="42"/>
      <c r="C468" s="41"/>
      <c r="D468" s="41"/>
      <c r="E468" s="41"/>
      <c r="F468" s="43"/>
      <c r="G468" s="44"/>
      <c r="H468" s="45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4.25" customHeight="1">
      <c r="A469" s="42"/>
      <c r="B469" s="42"/>
      <c r="C469" s="41"/>
      <c r="D469" s="41"/>
      <c r="E469" s="41"/>
      <c r="F469" s="43"/>
      <c r="G469" s="44"/>
      <c r="H469" s="45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4.25" customHeight="1">
      <c r="A470" s="42"/>
      <c r="B470" s="42"/>
      <c r="C470" s="41"/>
      <c r="D470" s="41"/>
      <c r="E470" s="41"/>
      <c r="F470" s="43"/>
      <c r="G470" s="44"/>
      <c r="H470" s="45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4.25" customHeight="1">
      <c r="A471" s="42"/>
      <c r="B471" s="42"/>
      <c r="C471" s="41"/>
      <c r="D471" s="41"/>
      <c r="E471" s="41"/>
      <c r="F471" s="43"/>
      <c r="G471" s="44"/>
      <c r="H471" s="45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4.25" customHeight="1">
      <c r="A472" s="42"/>
      <c r="B472" s="42"/>
      <c r="C472" s="41"/>
      <c r="D472" s="41"/>
      <c r="E472" s="41"/>
      <c r="F472" s="43"/>
      <c r="G472" s="44"/>
      <c r="H472" s="45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4.25" customHeight="1">
      <c r="A473" s="42"/>
      <c r="B473" s="42"/>
      <c r="C473" s="41"/>
      <c r="D473" s="41"/>
      <c r="E473" s="41"/>
      <c r="F473" s="43"/>
      <c r="G473" s="44"/>
      <c r="H473" s="45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4.25" customHeight="1">
      <c r="A474" s="42"/>
      <c r="B474" s="42"/>
      <c r="C474" s="41"/>
      <c r="D474" s="41"/>
      <c r="E474" s="41"/>
      <c r="F474" s="43"/>
      <c r="G474" s="44"/>
      <c r="H474" s="45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4.25" customHeight="1">
      <c r="A475" s="42"/>
      <c r="B475" s="42"/>
      <c r="C475" s="41"/>
      <c r="D475" s="41"/>
      <c r="E475" s="41"/>
      <c r="F475" s="43"/>
      <c r="G475" s="44"/>
      <c r="H475" s="45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4.25" customHeight="1">
      <c r="A476" s="42"/>
      <c r="B476" s="42"/>
      <c r="C476" s="41"/>
      <c r="D476" s="41"/>
      <c r="E476" s="41"/>
      <c r="F476" s="43"/>
      <c r="G476" s="44"/>
      <c r="H476" s="45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4.25" customHeight="1">
      <c r="A477" s="42"/>
      <c r="B477" s="42"/>
      <c r="C477" s="41"/>
      <c r="D477" s="41"/>
      <c r="E477" s="41"/>
      <c r="F477" s="43"/>
      <c r="G477" s="44"/>
      <c r="H477" s="45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4.25" customHeight="1">
      <c r="A478" s="42"/>
      <c r="B478" s="42"/>
      <c r="C478" s="41"/>
      <c r="D478" s="41"/>
      <c r="E478" s="41"/>
      <c r="F478" s="43"/>
      <c r="G478" s="44"/>
      <c r="H478" s="45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4.25" customHeight="1">
      <c r="A479" s="42"/>
      <c r="B479" s="42"/>
      <c r="C479" s="41"/>
      <c r="D479" s="41"/>
      <c r="E479" s="41"/>
      <c r="F479" s="43"/>
      <c r="G479" s="44"/>
      <c r="H479" s="45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4.25" customHeight="1">
      <c r="A480" s="42"/>
      <c r="B480" s="42"/>
      <c r="C480" s="41"/>
      <c r="D480" s="41"/>
      <c r="E480" s="41"/>
      <c r="F480" s="43"/>
      <c r="G480" s="44"/>
      <c r="H480" s="45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4.25" customHeight="1">
      <c r="A481" s="42"/>
      <c r="B481" s="42"/>
      <c r="C481" s="41"/>
      <c r="D481" s="41"/>
      <c r="E481" s="41"/>
      <c r="F481" s="43"/>
      <c r="G481" s="44"/>
      <c r="H481" s="45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4.25" customHeight="1">
      <c r="A482" s="42"/>
      <c r="B482" s="42"/>
      <c r="C482" s="41"/>
      <c r="D482" s="41"/>
      <c r="E482" s="41"/>
      <c r="F482" s="43"/>
      <c r="G482" s="44"/>
      <c r="H482" s="45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4.25" customHeight="1">
      <c r="A483" s="42"/>
      <c r="B483" s="42"/>
      <c r="C483" s="41"/>
      <c r="D483" s="41"/>
      <c r="E483" s="41"/>
      <c r="F483" s="43"/>
      <c r="G483" s="44"/>
      <c r="H483" s="45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4.25" customHeight="1">
      <c r="A484" s="42"/>
      <c r="B484" s="42"/>
      <c r="C484" s="41"/>
      <c r="D484" s="41"/>
      <c r="E484" s="41"/>
      <c r="F484" s="43"/>
      <c r="G484" s="44"/>
      <c r="H484" s="45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4.25" customHeight="1">
      <c r="A485" s="42"/>
      <c r="B485" s="42"/>
      <c r="C485" s="41"/>
      <c r="D485" s="41"/>
      <c r="E485" s="41"/>
      <c r="F485" s="43"/>
      <c r="G485" s="44"/>
      <c r="H485" s="45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4.25" customHeight="1">
      <c r="A486" s="42"/>
      <c r="B486" s="42"/>
      <c r="C486" s="41"/>
      <c r="D486" s="41"/>
      <c r="E486" s="41"/>
      <c r="F486" s="43"/>
      <c r="G486" s="44"/>
      <c r="H486" s="45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4.25" customHeight="1">
      <c r="A487" s="42"/>
      <c r="B487" s="42"/>
      <c r="C487" s="41"/>
      <c r="D487" s="41"/>
      <c r="E487" s="41"/>
      <c r="F487" s="43"/>
      <c r="G487" s="44"/>
      <c r="H487" s="45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4.25" customHeight="1">
      <c r="A488" s="42"/>
      <c r="B488" s="42"/>
      <c r="C488" s="41"/>
      <c r="D488" s="41"/>
      <c r="E488" s="41"/>
      <c r="F488" s="43"/>
      <c r="G488" s="44"/>
      <c r="H488" s="45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4.25" customHeight="1">
      <c r="A489" s="42"/>
      <c r="B489" s="42"/>
      <c r="C489" s="41"/>
      <c r="D489" s="41"/>
      <c r="E489" s="41"/>
      <c r="F489" s="43"/>
      <c r="G489" s="44"/>
      <c r="H489" s="45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4.25" customHeight="1">
      <c r="A490" s="42"/>
      <c r="B490" s="42"/>
      <c r="C490" s="41"/>
      <c r="D490" s="41"/>
      <c r="E490" s="41"/>
      <c r="F490" s="43"/>
      <c r="G490" s="44"/>
      <c r="H490" s="45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4.25" customHeight="1">
      <c r="A491" s="42"/>
      <c r="B491" s="42"/>
      <c r="C491" s="41"/>
      <c r="D491" s="41"/>
      <c r="E491" s="41"/>
      <c r="F491" s="43"/>
      <c r="G491" s="44"/>
      <c r="H491" s="45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4.25" customHeight="1">
      <c r="A492" s="42"/>
      <c r="B492" s="42"/>
      <c r="C492" s="41"/>
      <c r="D492" s="41"/>
      <c r="E492" s="41"/>
      <c r="F492" s="43"/>
      <c r="G492" s="44"/>
      <c r="H492" s="45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4.25" customHeight="1">
      <c r="A493" s="42"/>
      <c r="B493" s="42"/>
      <c r="C493" s="41"/>
      <c r="D493" s="41"/>
      <c r="E493" s="41"/>
      <c r="F493" s="43"/>
      <c r="G493" s="44"/>
      <c r="H493" s="45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4.25" customHeight="1">
      <c r="A494" s="42"/>
      <c r="B494" s="42"/>
      <c r="C494" s="41"/>
      <c r="D494" s="41"/>
      <c r="E494" s="41"/>
      <c r="F494" s="43"/>
      <c r="G494" s="44"/>
      <c r="H494" s="45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4.25" customHeight="1">
      <c r="A495" s="42"/>
      <c r="B495" s="42"/>
      <c r="C495" s="41"/>
      <c r="D495" s="41"/>
      <c r="E495" s="41"/>
      <c r="F495" s="43"/>
      <c r="G495" s="44"/>
      <c r="H495" s="45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4.25" customHeight="1">
      <c r="A496" s="42"/>
      <c r="B496" s="42"/>
      <c r="C496" s="41"/>
      <c r="D496" s="41"/>
      <c r="E496" s="41"/>
      <c r="F496" s="43"/>
      <c r="G496" s="44"/>
      <c r="H496" s="45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4.25" customHeight="1">
      <c r="A497" s="42"/>
      <c r="B497" s="42"/>
      <c r="C497" s="41"/>
      <c r="D497" s="41"/>
      <c r="E497" s="41"/>
      <c r="F497" s="43"/>
      <c r="G497" s="44"/>
      <c r="H497" s="45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4.25" customHeight="1">
      <c r="A498" s="42"/>
      <c r="B498" s="42"/>
      <c r="C498" s="41"/>
      <c r="D498" s="41"/>
      <c r="E498" s="41"/>
      <c r="F498" s="43"/>
      <c r="G498" s="44"/>
      <c r="H498" s="45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4.25" customHeight="1">
      <c r="A499" s="42"/>
      <c r="B499" s="42"/>
      <c r="C499" s="41"/>
      <c r="D499" s="41"/>
      <c r="E499" s="41"/>
      <c r="F499" s="43"/>
      <c r="G499" s="44"/>
      <c r="H499" s="45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4.25" customHeight="1">
      <c r="A500" s="42"/>
      <c r="B500" s="42"/>
      <c r="C500" s="41"/>
      <c r="D500" s="41"/>
      <c r="E500" s="41"/>
      <c r="F500" s="43"/>
      <c r="G500" s="44"/>
      <c r="H500" s="45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4.25" customHeight="1">
      <c r="A501" s="42"/>
      <c r="B501" s="42"/>
      <c r="C501" s="41"/>
      <c r="D501" s="41"/>
      <c r="E501" s="41"/>
      <c r="F501" s="43"/>
      <c r="G501" s="44"/>
      <c r="H501" s="45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4.25" customHeight="1">
      <c r="A502" s="42"/>
      <c r="B502" s="42"/>
      <c r="C502" s="41"/>
      <c r="D502" s="41"/>
      <c r="E502" s="41"/>
      <c r="F502" s="43"/>
      <c r="G502" s="44"/>
      <c r="H502" s="45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4.25" customHeight="1">
      <c r="A503" s="42"/>
      <c r="B503" s="42"/>
      <c r="C503" s="41"/>
      <c r="D503" s="41"/>
      <c r="E503" s="41"/>
      <c r="F503" s="43"/>
      <c r="G503" s="44"/>
      <c r="H503" s="45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4.25" customHeight="1">
      <c r="A504" s="42"/>
      <c r="B504" s="42"/>
      <c r="C504" s="41"/>
      <c r="D504" s="41"/>
      <c r="E504" s="41"/>
      <c r="F504" s="43"/>
      <c r="G504" s="44"/>
      <c r="H504" s="45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4.25" customHeight="1">
      <c r="A505" s="42"/>
      <c r="B505" s="42"/>
      <c r="C505" s="41"/>
      <c r="D505" s="41"/>
      <c r="E505" s="41"/>
      <c r="F505" s="43"/>
      <c r="G505" s="44"/>
      <c r="H505" s="45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4.25" customHeight="1">
      <c r="A506" s="42"/>
      <c r="B506" s="42"/>
      <c r="C506" s="41"/>
      <c r="D506" s="41"/>
      <c r="E506" s="41"/>
      <c r="F506" s="43"/>
      <c r="G506" s="44"/>
      <c r="H506" s="45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4.25" customHeight="1">
      <c r="A507" s="42"/>
      <c r="B507" s="42"/>
      <c r="C507" s="41"/>
      <c r="D507" s="41"/>
      <c r="E507" s="41"/>
      <c r="F507" s="43"/>
      <c r="G507" s="44"/>
      <c r="H507" s="45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4.25" customHeight="1">
      <c r="A508" s="42"/>
      <c r="B508" s="42"/>
      <c r="C508" s="41"/>
      <c r="D508" s="41"/>
      <c r="E508" s="41"/>
      <c r="F508" s="43"/>
      <c r="G508" s="44"/>
      <c r="H508" s="45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4.25" customHeight="1">
      <c r="A509" s="42"/>
      <c r="B509" s="42"/>
      <c r="C509" s="41"/>
      <c r="D509" s="41"/>
      <c r="E509" s="41"/>
      <c r="F509" s="43"/>
      <c r="G509" s="44"/>
      <c r="H509" s="45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4.25" customHeight="1">
      <c r="A510" s="42"/>
      <c r="B510" s="42"/>
      <c r="C510" s="41"/>
      <c r="D510" s="41"/>
      <c r="E510" s="41"/>
      <c r="F510" s="43"/>
      <c r="G510" s="44"/>
      <c r="H510" s="45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4.25" customHeight="1">
      <c r="A511" s="42"/>
      <c r="B511" s="42"/>
      <c r="C511" s="41"/>
      <c r="D511" s="41"/>
      <c r="E511" s="41"/>
      <c r="F511" s="43"/>
      <c r="G511" s="44"/>
      <c r="H511" s="45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4.25" customHeight="1">
      <c r="A512" s="42"/>
      <c r="B512" s="42"/>
      <c r="C512" s="41"/>
      <c r="D512" s="41"/>
      <c r="E512" s="41"/>
      <c r="F512" s="43"/>
      <c r="G512" s="44"/>
      <c r="H512" s="45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4.25" customHeight="1">
      <c r="A513" s="42"/>
      <c r="B513" s="42"/>
      <c r="C513" s="41"/>
      <c r="D513" s="41"/>
      <c r="E513" s="41"/>
      <c r="F513" s="43"/>
      <c r="G513" s="44"/>
      <c r="H513" s="45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4.25" customHeight="1">
      <c r="A514" s="42"/>
      <c r="B514" s="42"/>
      <c r="C514" s="41"/>
      <c r="D514" s="41"/>
      <c r="E514" s="41"/>
      <c r="F514" s="43"/>
      <c r="G514" s="44"/>
      <c r="H514" s="45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4.25" customHeight="1">
      <c r="A515" s="42"/>
      <c r="B515" s="42"/>
      <c r="C515" s="41"/>
      <c r="D515" s="41"/>
      <c r="E515" s="41"/>
      <c r="F515" s="43"/>
      <c r="G515" s="44"/>
      <c r="H515" s="45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4.25" customHeight="1">
      <c r="A516" s="42"/>
      <c r="B516" s="42"/>
      <c r="C516" s="41"/>
      <c r="D516" s="41"/>
      <c r="E516" s="41"/>
      <c r="F516" s="43"/>
      <c r="G516" s="44"/>
      <c r="H516" s="45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4.25" customHeight="1">
      <c r="A517" s="42"/>
      <c r="B517" s="42"/>
      <c r="C517" s="41"/>
      <c r="D517" s="41"/>
      <c r="E517" s="41"/>
      <c r="F517" s="43"/>
      <c r="G517" s="44"/>
      <c r="H517" s="45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4.25" customHeight="1">
      <c r="A518" s="42"/>
      <c r="B518" s="42"/>
      <c r="C518" s="41"/>
      <c r="D518" s="41"/>
      <c r="E518" s="41"/>
      <c r="F518" s="43"/>
      <c r="G518" s="44"/>
      <c r="H518" s="45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4.25" customHeight="1">
      <c r="A519" s="42"/>
      <c r="B519" s="42"/>
      <c r="C519" s="41"/>
      <c r="D519" s="41"/>
      <c r="E519" s="41"/>
      <c r="F519" s="43"/>
      <c r="G519" s="44"/>
      <c r="H519" s="45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4.25" customHeight="1">
      <c r="A520" s="42"/>
      <c r="B520" s="42"/>
      <c r="C520" s="41"/>
      <c r="D520" s="41"/>
      <c r="E520" s="41"/>
      <c r="F520" s="43"/>
      <c r="G520" s="44"/>
      <c r="H520" s="45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4.25" customHeight="1">
      <c r="A521" s="42"/>
      <c r="B521" s="42"/>
      <c r="C521" s="41"/>
      <c r="D521" s="41"/>
      <c r="E521" s="41"/>
      <c r="F521" s="43"/>
      <c r="G521" s="44"/>
      <c r="H521" s="45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4.25" customHeight="1">
      <c r="A522" s="42"/>
      <c r="B522" s="42"/>
      <c r="C522" s="41"/>
      <c r="D522" s="41"/>
      <c r="E522" s="41"/>
      <c r="F522" s="43"/>
      <c r="G522" s="44"/>
      <c r="H522" s="45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4.25" customHeight="1">
      <c r="A523" s="42"/>
      <c r="B523" s="42"/>
      <c r="C523" s="41"/>
      <c r="D523" s="41"/>
      <c r="E523" s="41"/>
      <c r="F523" s="43"/>
      <c r="G523" s="44"/>
      <c r="H523" s="45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4.25" customHeight="1">
      <c r="A524" s="42"/>
      <c r="B524" s="42"/>
      <c r="C524" s="41"/>
      <c r="D524" s="41"/>
      <c r="E524" s="41"/>
      <c r="F524" s="43"/>
      <c r="G524" s="44"/>
      <c r="H524" s="45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4.25" customHeight="1">
      <c r="A525" s="42"/>
      <c r="B525" s="42"/>
      <c r="C525" s="41"/>
      <c r="D525" s="41"/>
      <c r="E525" s="41"/>
      <c r="F525" s="43"/>
      <c r="G525" s="44"/>
      <c r="H525" s="45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4.25" customHeight="1">
      <c r="A526" s="42"/>
      <c r="B526" s="42"/>
      <c r="C526" s="41"/>
      <c r="D526" s="41"/>
      <c r="E526" s="41"/>
      <c r="F526" s="43"/>
      <c r="G526" s="44"/>
      <c r="H526" s="45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4.25" customHeight="1">
      <c r="A527" s="42"/>
      <c r="B527" s="42"/>
      <c r="C527" s="41"/>
      <c r="D527" s="41"/>
      <c r="E527" s="41"/>
      <c r="F527" s="43"/>
      <c r="G527" s="44"/>
      <c r="H527" s="45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4.25" customHeight="1">
      <c r="A528" s="42"/>
      <c r="B528" s="42"/>
      <c r="C528" s="41"/>
      <c r="D528" s="41"/>
      <c r="E528" s="41"/>
      <c r="F528" s="43"/>
      <c r="G528" s="44"/>
      <c r="H528" s="45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4.25" customHeight="1">
      <c r="A529" s="42"/>
      <c r="B529" s="42"/>
      <c r="C529" s="41"/>
      <c r="D529" s="41"/>
      <c r="E529" s="41"/>
      <c r="F529" s="43"/>
      <c r="G529" s="44"/>
      <c r="H529" s="45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4.25" customHeight="1">
      <c r="A530" s="42"/>
      <c r="B530" s="42"/>
      <c r="C530" s="41"/>
      <c r="D530" s="41"/>
      <c r="E530" s="41"/>
      <c r="F530" s="43"/>
      <c r="G530" s="44"/>
      <c r="H530" s="45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4.25" customHeight="1">
      <c r="A531" s="42"/>
      <c r="B531" s="42"/>
      <c r="C531" s="41"/>
      <c r="D531" s="41"/>
      <c r="E531" s="41"/>
      <c r="F531" s="43"/>
      <c r="G531" s="44"/>
      <c r="H531" s="45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4.25" customHeight="1">
      <c r="A532" s="42"/>
      <c r="B532" s="42"/>
      <c r="C532" s="41"/>
      <c r="D532" s="41"/>
      <c r="E532" s="41"/>
      <c r="F532" s="43"/>
      <c r="G532" s="44"/>
      <c r="H532" s="45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4.25" customHeight="1">
      <c r="A533" s="42"/>
      <c r="B533" s="42"/>
      <c r="C533" s="41"/>
      <c r="D533" s="41"/>
      <c r="E533" s="41"/>
      <c r="F533" s="43"/>
      <c r="G533" s="44"/>
      <c r="H533" s="45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4.25" customHeight="1">
      <c r="A534" s="42"/>
      <c r="B534" s="42"/>
      <c r="C534" s="41"/>
      <c r="D534" s="41"/>
      <c r="E534" s="41"/>
      <c r="F534" s="43"/>
      <c r="G534" s="44"/>
      <c r="H534" s="45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4.25" customHeight="1">
      <c r="A535" s="42"/>
      <c r="B535" s="42"/>
      <c r="C535" s="41"/>
      <c r="D535" s="41"/>
      <c r="E535" s="41"/>
      <c r="F535" s="43"/>
      <c r="G535" s="44"/>
      <c r="H535" s="45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4.25" customHeight="1">
      <c r="A536" s="42"/>
      <c r="B536" s="42"/>
      <c r="C536" s="41"/>
      <c r="D536" s="41"/>
      <c r="E536" s="41"/>
      <c r="F536" s="43"/>
      <c r="G536" s="44"/>
      <c r="H536" s="45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4.25" customHeight="1">
      <c r="A537" s="42"/>
      <c r="B537" s="42"/>
      <c r="C537" s="41"/>
      <c r="D537" s="41"/>
      <c r="E537" s="41"/>
      <c r="F537" s="43"/>
      <c r="G537" s="44"/>
      <c r="H537" s="45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4.25" customHeight="1">
      <c r="A538" s="42"/>
      <c r="B538" s="42"/>
      <c r="C538" s="41"/>
      <c r="D538" s="41"/>
      <c r="E538" s="41"/>
      <c r="F538" s="43"/>
      <c r="G538" s="44"/>
      <c r="H538" s="45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4.25" customHeight="1">
      <c r="A539" s="42"/>
      <c r="B539" s="42"/>
      <c r="C539" s="41"/>
      <c r="D539" s="41"/>
      <c r="E539" s="41"/>
      <c r="F539" s="43"/>
      <c r="G539" s="44"/>
      <c r="H539" s="45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4.25" customHeight="1">
      <c r="A540" s="42"/>
      <c r="B540" s="42"/>
      <c r="C540" s="41"/>
      <c r="D540" s="41"/>
      <c r="E540" s="41"/>
      <c r="F540" s="43"/>
      <c r="G540" s="44"/>
      <c r="H540" s="45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4.25" customHeight="1">
      <c r="A541" s="42"/>
      <c r="B541" s="42"/>
      <c r="C541" s="41"/>
      <c r="D541" s="41"/>
      <c r="E541" s="41"/>
      <c r="F541" s="43"/>
      <c r="G541" s="44"/>
      <c r="H541" s="45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4.25" customHeight="1">
      <c r="A542" s="42"/>
      <c r="B542" s="42"/>
      <c r="C542" s="41"/>
      <c r="D542" s="41"/>
      <c r="E542" s="41"/>
      <c r="F542" s="43"/>
      <c r="G542" s="44"/>
      <c r="H542" s="45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4.25" customHeight="1">
      <c r="A543" s="42"/>
      <c r="B543" s="42"/>
      <c r="C543" s="41"/>
      <c r="D543" s="41"/>
      <c r="E543" s="41"/>
      <c r="F543" s="43"/>
      <c r="G543" s="44"/>
      <c r="H543" s="45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4.25" customHeight="1">
      <c r="A544" s="42"/>
      <c r="B544" s="42"/>
      <c r="C544" s="41"/>
      <c r="D544" s="41"/>
      <c r="E544" s="41"/>
      <c r="F544" s="43"/>
      <c r="G544" s="44"/>
      <c r="H544" s="45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4.25" customHeight="1">
      <c r="A545" s="42"/>
      <c r="B545" s="42"/>
      <c r="C545" s="41"/>
      <c r="D545" s="41"/>
      <c r="E545" s="41"/>
      <c r="F545" s="43"/>
      <c r="G545" s="44"/>
      <c r="H545" s="45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4.25" customHeight="1">
      <c r="A546" s="42"/>
      <c r="B546" s="42"/>
      <c r="C546" s="41"/>
      <c r="D546" s="41"/>
      <c r="E546" s="41"/>
      <c r="F546" s="43"/>
      <c r="G546" s="44"/>
      <c r="H546" s="45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4.25" customHeight="1">
      <c r="A547" s="42"/>
      <c r="B547" s="42"/>
      <c r="C547" s="41"/>
      <c r="D547" s="41"/>
      <c r="E547" s="41"/>
      <c r="F547" s="43"/>
      <c r="G547" s="44"/>
      <c r="H547" s="45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4.25" customHeight="1">
      <c r="A548" s="42"/>
      <c r="B548" s="42"/>
      <c r="C548" s="41"/>
      <c r="D548" s="41"/>
      <c r="E548" s="41"/>
      <c r="F548" s="43"/>
      <c r="G548" s="44"/>
      <c r="H548" s="45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4.25" customHeight="1">
      <c r="A549" s="42"/>
      <c r="B549" s="42"/>
      <c r="C549" s="41"/>
      <c r="D549" s="41"/>
      <c r="E549" s="41"/>
      <c r="F549" s="43"/>
      <c r="G549" s="44"/>
      <c r="H549" s="45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4.25" customHeight="1">
      <c r="A550" s="42"/>
      <c r="B550" s="42"/>
      <c r="C550" s="41"/>
      <c r="D550" s="41"/>
      <c r="E550" s="41"/>
      <c r="F550" s="43"/>
      <c r="G550" s="44"/>
      <c r="H550" s="45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4.25" customHeight="1">
      <c r="A551" s="42"/>
      <c r="B551" s="42"/>
      <c r="C551" s="41"/>
      <c r="D551" s="41"/>
      <c r="E551" s="41"/>
      <c r="F551" s="43"/>
      <c r="G551" s="44"/>
      <c r="H551" s="45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4.25" customHeight="1">
      <c r="A552" s="42"/>
      <c r="B552" s="42"/>
      <c r="C552" s="41"/>
      <c r="D552" s="41"/>
      <c r="E552" s="41"/>
      <c r="F552" s="43"/>
      <c r="G552" s="44"/>
      <c r="H552" s="45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4.25" customHeight="1">
      <c r="A553" s="42"/>
      <c r="B553" s="42"/>
      <c r="C553" s="41"/>
      <c r="D553" s="41"/>
      <c r="E553" s="41"/>
      <c r="F553" s="43"/>
      <c r="G553" s="44"/>
      <c r="H553" s="45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4.25" customHeight="1">
      <c r="A554" s="42"/>
      <c r="B554" s="42"/>
      <c r="C554" s="41"/>
      <c r="D554" s="41"/>
      <c r="E554" s="41"/>
      <c r="F554" s="43"/>
      <c r="G554" s="44"/>
      <c r="H554" s="45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4.25" customHeight="1">
      <c r="A555" s="42"/>
      <c r="B555" s="42"/>
      <c r="C555" s="41"/>
      <c r="D555" s="41"/>
      <c r="E555" s="41"/>
      <c r="F555" s="43"/>
      <c r="G555" s="44"/>
      <c r="H555" s="45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4.25" customHeight="1">
      <c r="A556" s="42"/>
      <c r="B556" s="42"/>
      <c r="C556" s="41"/>
      <c r="D556" s="41"/>
      <c r="E556" s="41"/>
      <c r="F556" s="43"/>
      <c r="G556" s="44"/>
      <c r="H556" s="45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4.25" customHeight="1">
      <c r="A557" s="42"/>
      <c r="B557" s="42"/>
      <c r="C557" s="41"/>
      <c r="D557" s="41"/>
      <c r="E557" s="41"/>
      <c r="F557" s="43"/>
      <c r="G557" s="44"/>
      <c r="H557" s="45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4.25" customHeight="1">
      <c r="A558" s="42"/>
      <c r="B558" s="42"/>
      <c r="C558" s="41"/>
      <c r="D558" s="41"/>
      <c r="E558" s="41"/>
      <c r="F558" s="43"/>
      <c r="G558" s="44"/>
      <c r="H558" s="45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4.25" customHeight="1">
      <c r="A559" s="42"/>
      <c r="B559" s="42"/>
      <c r="C559" s="41"/>
      <c r="D559" s="41"/>
      <c r="E559" s="41"/>
      <c r="F559" s="43"/>
      <c r="G559" s="44"/>
      <c r="H559" s="45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4.25" customHeight="1">
      <c r="A560" s="42"/>
      <c r="B560" s="42"/>
      <c r="C560" s="41"/>
      <c r="D560" s="41"/>
      <c r="E560" s="41"/>
      <c r="F560" s="43"/>
      <c r="G560" s="44"/>
      <c r="H560" s="45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4.25" customHeight="1">
      <c r="A561" s="42"/>
      <c r="B561" s="42"/>
      <c r="C561" s="41"/>
      <c r="D561" s="41"/>
      <c r="E561" s="41"/>
      <c r="F561" s="43"/>
      <c r="G561" s="44"/>
      <c r="H561" s="45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4.25" customHeight="1">
      <c r="A562" s="42"/>
      <c r="B562" s="42"/>
      <c r="C562" s="41"/>
      <c r="D562" s="41"/>
      <c r="E562" s="41"/>
      <c r="F562" s="43"/>
      <c r="G562" s="44"/>
      <c r="H562" s="45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4.25" customHeight="1">
      <c r="A563" s="42"/>
      <c r="B563" s="42"/>
      <c r="C563" s="41"/>
      <c r="D563" s="41"/>
      <c r="E563" s="41"/>
      <c r="F563" s="43"/>
      <c r="G563" s="44"/>
      <c r="H563" s="45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4.25" customHeight="1">
      <c r="A564" s="42"/>
      <c r="B564" s="42"/>
      <c r="C564" s="41"/>
      <c r="D564" s="41"/>
      <c r="E564" s="41"/>
      <c r="F564" s="43"/>
      <c r="G564" s="44"/>
      <c r="H564" s="45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4.25" customHeight="1">
      <c r="A565" s="42"/>
      <c r="B565" s="42"/>
      <c r="C565" s="41"/>
      <c r="D565" s="41"/>
      <c r="E565" s="41"/>
      <c r="F565" s="43"/>
      <c r="G565" s="44"/>
      <c r="H565" s="45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4.25" customHeight="1">
      <c r="A566" s="42"/>
      <c r="B566" s="42"/>
      <c r="C566" s="41"/>
      <c r="D566" s="41"/>
      <c r="E566" s="41"/>
      <c r="F566" s="43"/>
      <c r="G566" s="44"/>
      <c r="H566" s="45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4.25" customHeight="1">
      <c r="A567" s="42"/>
      <c r="B567" s="42"/>
      <c r="C567" s="41"/>
      <c r="D567" s="41"/>
      <c r="E567" s="41"/>
      <c r="F567" s="43"/>
      <c r="G567" s="44"/>
      <c r="H567" s="45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4.25" customHeight="1">
      <c r="A568" s="42"/>
      <c r="B568" s="42"/>
      <c r="C568" s="41"/>
      <c r="D568" s="41"/>
      <c r="E568" s="41"/>
      <c r="F568" s="43"/>
      <c r="G568" s="44"/>
      <c r="H568" s="45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4.25" customHeight="1">
      <c r="A569" s="42"/>
      <c r="B569" s="42"/>
      <c r="C569" s="41"/>
      <c r="D569" s="41"/>
      <c r="E569" s="41"/>
      <c r="F569" s="43"/>
      <c r="G569" s="44"/>
      <c r="H569" s="45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4.25" customHeight="1">
      <c r="A570" s="42"/>
      <c r="B570" s="42"/>
      <c r="C570" s="41"/>
      <c r="D570" s="41"/>
      <c r="E570" s="41"/>
      <c r="F570" s="43"/>
      <c r="G570" s="44"/>
      <c r="H570" s="45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4.25" customHeight="1">
      <c r="A571" s="42"/>
      <c r="B571" s="42"/>
      <c r="C571" s="41"/>
      <c r="D571" s="41"/>
      <c r="E571" s="41"/>
      <c r="F571" s="43"/>
      <c r="G571" s="44"/>
      <c r="H571" s="45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4.25" customHeight="1">
      <c r="A572" s="42"/>
      <c r="B572" s="42"/>
      <c r="C572" s="41"/>
      <c r="D572" s="41"/>
      <c r="E572" s="41"/>
      <c r="F572" s="43"/>
      <c r="G572" s="44"/>
      <c r="H572" s="45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4.25" customHeight="1">
      <c r="A573" s="42"/>
      <c r="B573" s="42"/>
      <c r="C573" s="41"/>
      <c r="D573" s="41"/>
      <c r="E573" s="41"/>
      <c r="F573" s="43"/>
      <c r="G573" s="44"/>
      <c r="H573" s="45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4.25" customHeight="1">
      <c r="A574" s="42"/>
      <c r="B574" s="42"/>
      <c r="C574" s="41"/>
      <c r="D574" s="41"/>
      <c r="E574" s="41"/>
      <c r="F574" s="43"/>
      <c r="G574" s="44"/>
      <c r="H574" s="45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4.25" customHeight="1">
      <c r="A575" s="42"/>
      <c r="B575" s="42"/>
      <c r="C575" s="41"/>
      <c r="D575" s="41"/>
      <c r="E575" s="41"/>
      <c r="F575" s="43"/>
      <c r="G575" s="44"/>
      <c r="H575" s="45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4.25" customHeight="1">
      <c r="A576" s="42"/>
      <c r="B576" s="42"/>
      <c r="C576" s="41"/>
      <c r="D576" s="41"/>
      <c r="E576" s="41"/>
      <c r="F576" s="43"/>
      <c r="G576" s="44"/>
      <c r="H576" s="45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4.25" customHeight="1">
      <c r="A577" s="42"/>
      <c r="B577" s="42"/>
      <c r="C577" s="41"/>
      <c r="D577" s="41"/>
      <c r="E577" s="41"/>
      <c r="F577" s="43"/>
      <c r="G577" s="44"/>
      <c r="H577" s="45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4.25" customHeight="1">
      <c r="A578" s="42"/>
      <c r="B578" s="42"/>
      <c r="C578" s="41"/>
      <c r="D578" s="41"/>
      <c r="E578" s="41"/>
      <c r="F578" s="43"/>
      <c r="G578" s="44"/>
      <c r="H578" s="45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4.25" customHeight="1">
      <c r="A579" s="42"/>
      <c r="B579" s="42"/>
      <c r="C579" s="41"/>
      <c r="D579" s="41"/>
      <c r="E579" s="41"/>
      <c r="F579" s="43"/>
      <c r="G579" s="44"/>
      <c r="H579" s="45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4.25" customHeight="1">
      <c r="A580" s="42"/>
      <c r="B580" s="42"/>
      <c r="C580" s="41"/>
      <c r="D580" s="41"/>
      <c r="E580" s="41"/>
      <c r="F580" s="43"/>
      <c r="G580" s="44"/>
      <c r="H580" s="45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4.25" customHeight="1">
      <c r="A581" s="42"/>
      <c r="B581" s="42"/>
      <c r="C581" s="41"/>
      <c r="D581" s="41"/>
      <c r="E581" s="41"/>
      <c r="F581" s="43"/>
      <c r="G581" s="44"/>
      <c r="H581" s="45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4.25" customHeight="1">
      <c r="A582" s="42"/>
      <c r="B582" s="42"/>
      <c r="C582" s="41"/>
      <c r="D582" s="41"/>
      <c r="E582" s="41"/>
      <c r="F582" s="43"/>
      <c r="G582" s="44"/>
      <c r="H582" s="45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4.25" customHeight="1">
      <c r="A583" s="42"/>
      <c r="B583" s="42"/>
      <c r="C583" s="41"/>
      <c r="D583" s="41"/>
      <c r="E583" s="41"/>
      <c r="F583" s="43"/>
      <c r="G583" s="44"/>
      <c r="H583" s="45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4.25" customHeight="1">
      <c r="A584" s="42"/>
      <c r="B584" s="42"/>
      <c r="C584" s="41"/>
      <c r="D584" s="41"/>
      <c r="E584" s="41"/>
      <c r="F584" s="43"/>
      <c r="G584" s="44"/>
      <c r="H584" s="45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4.25" customHeight="1">
      <c r="A585" s="42"/>
      <c r="B585" s="42"/>
      <c r="C585" s="41"/>
      <c r="D585" s="41"/>
      <c r="E585" s="41"/>
      <c r="F585" s="43"/>
      <c r="G585" s="44"/>
      <c r="H585" s="45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4.25" customHeight="1">
      <c r="A586" s="42"/>
      <c r="B586" s="42"/>
      <c r="C586" s="41"/>
      <c r="D586" s="41"/>
      <c r="E586" s="41"/>
      <c r="F586" s="43"/>
      <c r="G586" s="44"/>
      <c r="H586" s="45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4.25" customHeight="1">
      <c r="A587" s="42"/>
      <c r="B587" s="42"/>
      <c r="C587" s="41"/>
      <c r="D587" s="41"/>
      <c r="E587" s="41"/>
      <c r="F587" s="43"/>
      <c r="G587" s="44"/>
      <c r="H587" s="45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4.25" customHeight="1">
      <c r="A588" s="42"/>
      <c r="B588" s="42"/>
      <c r="C588" s="41"/>
      <c r="D588" s="41"/>
      <c r="E588" s="41"/>
      <c r="F588" s="43"/>
      <c r="G588" s="44"/>
      <c r="H588" s="45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4.25" customHeight="1">
      <c r="A589" s="42"/>
      <c r="B589" s="42"/>
      <c r="C589" s="41"/>
      <c r="D589" s="41"/>
      <c r="E589" s="41"/>
      <c r="F589" s="43"/>
      <c r="G589" s="44"/>
      <c r="H589" s="45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4.25" customHeight="1">
      <c r="A590" s="42"/>
      <c r="B590" s="42"/>
      <c r="C590" s="41"/>
      <c r="D590" s="41"/>
      <c r="E590" s="41"/>
      <c r="F590" s="43"/>
      <c r="G590" s="44"/>
      <c r="H590" s="45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4.25" customHeight="1">
      <c r="A591" s="42"/>
      <c r="B591" s="42"/>
      <c r="C591" s="41"/>
      <c r="D591" s="41"/>
      <c r="E591" s="41"/>
      <c r="F591" s="43"/>
      <c r="G591" s="44"/>
      <c r="H591" s="45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4.25" customHeight="1">
      <c r="A592" s="42"/>
      <c r="B592" s="42"/>
      <c r="C592" s="41"/>
      <c r="D592" s="41"/>
      <c r="E592" s="41"/>
      <c r="F592" s="43"/>
      <c r="G592" s="44"/>
      <c r="H592" s="45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4.25" customHeight="1">
      <c r="A593" s="42"/>
      <c r="B593" s="42"/>
      <c r="C593" s="41"/>
      <c r="D593" s="41"/>
      <c r="E593" s="41"/>
      <c r="F593" s="43"/>
      <c r="G593" s="44"/>
      <c r="H593" s="45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4.25" customHeight="1">
      <c r="A594" s="42"/>
      <c r="B594" s="42"/>
      <c r="C594" s="41"/>
      <c r="D594" s="41"/>
      <c r="E594" s="41"/>
      <c r="F594" s="43"/>
      <c r="G594" s="44"/>
      <c r="H594" s="45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4.25" customHeight="1">
      <c r="A595" s="42"/>
      <c r="B595" s="42"/>
      <c r="C595" s="41"/>
      <c r="D595" s="41"/>
      <c r="E595" s="41"/>
      <c r="F595" s="43"/>
      <c r="G595" s="44"/>
      <c r="H595" s="45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4.25" customHeight="1">
      <c r="A596" s="42"/>
      <c r="B596" s="42"/>
      <c r="C596" s="41"/>
      <c r="D596" s="41"/>
      <c r="E596" s="41"/>
      <c r="F596" s="43"/>
      <c r="G596" s="44"/>
      <c r="H596" s="45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4.25" customHeight="1">
      <c r="A597" s="42"/>
      <c r="B597" s="42"/>
      <c r="C597" s="41"/>
      <c r="D597" s="41"/>
      <c r="E597" s="41"/>
      <c r="F597" s="43"/>
      <c r="G597" s="44"/>
      <c r="H597" s="45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4.25" customHeight="1">
      <c r="A598" s="42"/>
      <c r="B598" s="42"/>
      <c r="C598" s="41"/>
      <c r="D598" s="41"/>
      <c r="E598" s="41"/>
      <c r="F598" s="43"/>
      <c r="G598" s="44"/>
      <c r="H598" s="45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4.25" customHeight="1">
      <c r="A599" s="42"/>
      <c r="B599" s="42"/>
      <c r="C599" s="41"/>
      <c r="D599" s="41"/>
      <c r="E599" s="41"/>
      <c r="F599" s="43"/>
      <c r="G599" s="44"/>
      <c r="H599" s="45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4.25" customHeight="1">
      <c r="A600" s="42"/>
      <c r="B600" s="42"/>
      <c r="C600" s="41"/>
      <c r="D600" s="41"/>
      <c r="E600" s="41"/>
      <c r="F600" s="43"/>
      <c r="G600" s="44"/>
      <c r="H600" s="45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4.25" customHeight="1">
      <c r="A601" s="42"/>
      <c r="B601" s="42"/>
      <c r="C601" s="41"/>
      <c r="D601" s="41"/>
      <c r="E601" s="41"/>
      <c r="F601" s="43"/>
      <c r="G601" s="44"/>
      <c r="H601" s="45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4.25" customHeight="1">
      <c r="A602" s="42"/>
      <c r="B602" s="42"/>
      <c r="C602" s="41"/>
      <c r="D602" s="41"/>
      <c r="E602" s="41"/>
      <c r="F602" s="43"/>
      <c r="G602" s="44"/>
      <c r="H602" s="45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4.25" customHeight="1">
      <c r="A603" s="42"/>
      <c r="B603" s="42"/>
      <c r="C603" s="41"/>
      <c r="D603" s="41"/>
      <c r="E603" s="41"/>
      <c r="F603" s="43"/>
      <c r="G603" s="44"/>
      <c r="H603" s="45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4.25" customHeight="1">
      <c r="A604" s="42"/>
      <c r="B604" s="42"/>
      <c r="C604" s="41"/>
      <c r="D604" s="41"/>
      <c r="E604" s="41"/>
      <c r="F604" s="43"/>
      <c r="G604" s="44"/>
      <c r="H604" s="45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4.25" customHeight="1">
      <c r="A605" s="42"/>
      <c r="B605" s="42"/>
      <c r="C605" s="41"/>
      <c r="D605" s="41"/>
      <c r="E605" s="41"/>
      <c r="F605" s="43"/>
      <c r="G605" s="44"/>
      <c r="H605" s="45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4.25" customHeight="1">
      <c r="A606" s="42"/>
      <c r="B606" s="42"/>
      <c r="C606" s="41"/>
      <c r="D606" s="41"/>
      <c r="E606" s="41"/>
      <c r="F606" s="43"/>
      <c r="G606" s="44"/>
      <c r="H606" s="45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4.25" customHeight="1">
      <c r="A607" s="42"/>
      <c r="B607" s="42"/>
      <c r="C607" s="41"/>
      <c r="D607" s="41"/>
      <c r="E607" s="41"/>
      <c r="F607" s="43"/>
      <c r="G607" s="44"/>
      <c r="H607" s="45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4.25" customHeight="1">
      <c r="A608" s="42"/>
      <c r="B608" s="42"/>
      <c r="C608" s="41"/>
      <c r="D608" s="41"/>
      <c r="E608" s="41"/>
      <c r="F608" s="43"/>
      <c r="G608" s="44"/>
      <c r="H608" s="45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4.25" customHeight="1">
      <c r="A609" s="42"/>
      <c r="B609" s="42"/>
      <c r="C609" s="41"/>
      <c r="D609" s="41"/>
      <c r="E609" s="41"/>
      <c r="F609" s="43"/>
      <c r="G609" s="44"/>
      <c r="H609" s="45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4.25" customHeight="1">
      <c r="A610" s="42"/>
      <c r="B610" s="42"/>
      <c r="C610" s="41"/>
      <c r="D610" s="41"/>
      <c r="E610" s="41"/>
      <c r="F610" s="43"/>
      <c r="G610" s="44"/>
      <c r="H610" s="45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4.25" customHeight="1">
      <c r="A611" s="42"/>
      <c r="B611" s="42"/>
      <c r="C611" s="41"/>
      <c r="D611" s="41"/>
      <c r="E611" s="41"/>
      <c r="F611" s="43"/>
      <c r="G611" s="44"/>
      <c r="H611" s="45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4.25" customHeight="1">
      <c r="A612" s="42"/>
      <c r="B612" s="42"/>
      <c r="C612" s="41"/>
      <c r="D612" s="41"/>
      <c r="E612" s="41"/>
      <c r="F612" s="43"/>
      <c r="G612" s="44"/>
      <c r="H612" s="45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4.25" customHeight="1">
      <c r="A613" s="42"/>
      <c r="B613" s="42"/>
      <c r="C613" s="41"/>
      <c r="D613" s="41"/>
      <c r="E613" s="41"/>
      <c r="F613" s="43"/>
      <c r="G613" s="44"/>
      <c r="H613" s="45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4.25" customHeight="1">
      <c r="A614" s="42"/>
      <c r="B614" s="42"/>
      <c r="C614" s="41"/>
      <c r="D614" s="41"/>
      <c r="E614" s="41"/>
      <c r="F614" s="43"/>
      <c r="G614" s="44"/>
      <c r="H614" s="45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4.25" customHeight="1">
      <c r="A615" s="42"/>
      <c r="B615" s="42"/>
      <c r="C615" s="41"/>
      <c r="D615" s="41"/>
      <c r="E615" s="41"/>
      <c r="F615" s="43"/>
      <c r="G615" s="44"/>
      <c r="H615" s="45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4.25" customHeight="1">
      <c r="A616" s="42"/>
      <c r="B616" s="42"/>
      <c r="C616" s="41"/>
      <c r="D616" s="41"/>
      <c r="E616" s="41"/>
      <c r="F616" s="43"/>
      <c r="G616" s="44"/>
      <c r="H616" s="45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4.25" customHeight="1">
      <c r="A617" s="42"/>
      <c r="B617" s="42"/>
      <c r="C617" s="41"/>
      <c r="D617" s="41"/>
      <c r="E617" s="41"/>
      <c r="F617" s="43"/>
      <c r="G617" s="44"/>
      <c r="H617" s="45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4.25" customHeight="1">
      <c r="A618" s="42"/>
      <c r="B618" s="42"/>
      <c r="C618" s="41"/>
      <c r="D618" s="41"/>
      <c r="E618" s="41"/>
      <c r="F618" s="43"/>
      <c r="G618" s="44"/>
      <c r="H618" s="45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4.25" customHeight="1">
      <c r="A619" s="42"/>
      <c r="B619" s="42"/>
      <c r="C619" s="41"/>
      <c r="D619" s="41"/>
      <c r="E619" s="41"/>
      <c r="F619" s="43"/>
      <c r="G619" s="44"/>
      <c r="H619" s="45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4.25" customHeight="1">
      <c r="A620" s="42"/>
      <c r="B620" s="42"/>
      <c r="C620" s="41"/>
      <c r="D620" s="41"/>
      <c r="E620" s="41"/>
      <c r="F620" s="43"/>
      <c r="G620" s="44"/>
      <c r="H620" s="45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4.25" customHeight="1">
      <c r="A621" s="42"/>
      <c r="B621" s="42"/>
      <c r="C621" s="41"/>
      <c r="D621" s="41"/>
      <c r="E621" s="41"/>
      <c r="F621" s="43"/>
      <c r="G621" s="44"/>
      <c r="H621" s="45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4.25" customHeight="1">
      <c r="A622" s="42"/>
      <c r="B622" s="42"/>
      <c r="C622" s="41"/>
      <c r="D622" s="41"/>
      <c r="E622" s="41"/>
      <c r="F622" s="43"/>
      <c r="G622" s="44"/>
      <c r="H622" s="45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4.25" customHeight="1">
      <c r="A623" s="42"/>
      <c r="B623" s="42"/>
      <c r="C623" s="41"/>
      <c r="D623" s="41"/>
      <c r="E623" s="41"/>
      <c r="F623" s="43"/>
      <c r="G623" s="44"/>
      <c r="H623" s="45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4.25" customHeight="1">
      <c r="A624" s="42"/>
      <c r="B624" s="42"/>
      <c r="C624" s="41"/>
      <c r="D624" s="41"/>
      <c r="E624" s="41"/>
      <c r="F624" s="43"/>
      <c r="G624" s="44"/>
      <c r="H624" s="45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4.25" customHeight="1">
      <c r="A625" s="42"/>
      <c r="B625" s="42"/>
      <c r="C625" s="41"/>
      <c r="D625" s="41"/>
      <c r="E625" s="41"/>
      <c r="F625" s="43"/>
      <c r="G625" s="44"/>
      <c r="H625" s="45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4.25" customHeight="1">
      <c r="A626" s="42"/>
      <c r="B626" s="42"/>
      <c r="C626" s="41"/>
      <c r="D626" s="41"/>
      <c r="E626" s="41"/>
      <c r="F626" s="43"/>
      <c r="G626" s="44"/>
      <c r="H626" s="45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4.25" customHeight="1">
      <c r="A627" s="42"/>
      <c r="B627" s="42"/>
      <c r="C627" s="41"/>
      <c r="D627" s="41"/>
      <c r="E627" s="41"/>
      <c r="F627" s="43"/>
      <c r="G627" s="44"/>
      <c r="H627" s="45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4.25" customHeight="1">
      <c r="A628" s="42"/>
      <c r="B628" s="42"/>
      <c r="C628" s="41"/>
      <c r="D628" s="41"/>
      <c r="E628" s="41"/>
      <c r="F628" s="43"/>
      <c r="G628" s="44"/>
      <c r="H628" s="45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4.25" customHeight="1">
      <c r="A629" s="42"/>
      <c r="B629" s="42"/>
      <c r="C629" s="41"/>
      <c r="D629" s="41"/>
      <c r="E629" s="41"/>
      <c r="F629" s="43"/>
      <c r="G629" s="44"/>
      <c r="H629" s="45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4.25" customHeight="1">
      <c r="A630" s="42"/>
      <c r="B630" s="42"/>
      <c r="C630" s="41"/>
      <c r="D630" s="41"/>
      <c r="E630" s="41"/>
      <c r="F630" s="43"/>
      <c r="G630" s="44"/>
      <c r="H630" s="45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4.25" customHeight="1">
      <c r="A631" s="42"/>
      <c r="B631" s="42"/>
      <c r="C631" s="41"/>
      <c r="D631" s="41"/>
      <c r="E631" s="41"/>
      <c r="F631" s="43"/>
      <c r="G631" s="44"/>
      <c r="H631" s="45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4.25" customHeight="1">
      <c r="A632" s="42"/>
      <c r="B632" s="42"/>
      <c r="C632" s="41"/>
      <c r="D632" s="41"/>
      <c r="E632" s="41"/>
      <c r="F632" s="43"/>
      <c r="G632" s="44"/>
      <c r="H632" s="45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4.25" customHeight="1">
      <c r="A633" s="42"/>
      <c r="B633" s="42"/>
      <c r="C633" s="41"/>
      <c r="D633" s="41"/>
      <c r="E633" s="41"/>
      <c r="F633" s="43"/>
      <c r="G633" s="44"/>
      <c r="H633" s="45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4.25" customHeight="1">
      <c r="A634" s="42"/>
      <c r="B634" s="42"/>
      <c r="C634" s="41"/>
      <c r="D634" s="41"/>
      <c r="E634" s="41"/>
      <c r="F634" s="43"/>
      <c r="G634" s="44"/>
      <c r="H634" s="45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4.25" customHeight="1">
      <c r="A635" s="42"/>
      <c r="B635" s="42"/>
      <c r="C635" s="41"/>
      <c r="D635" s="41"/>
      <c r="E635" s="41"/>
      <c r="F635" s="43"/>
      <c r="G635" s="44"/>
      <c r="H635" s="45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4.25" customHeight="1">
      <c r="A636" s="42"/>
      <c r="B636" s="42"/>
      <c r="C636" s="41"/>
      <c r="D636" s="41"/>
      <c r="E636" s="41"/>
      <c r="F636" s="43"/>
      <c r="G636" s="44"/>
      <c r="H636" s="45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4.25" customHeight="1">
      <c r="A637" s="42"/>
      <c r="B637" s="42"/>
      <c r="C637" s="41"/>
      <c r="D637" s="41"/>
      <c r="E637" s="41"/>
      <c r="F637" s="43"/>
      <c r="G637" s="44"/>
      <c r="H637" s="45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4.25" customHeight="1">
      <c r="A638" s="42"/>
      <c r="B638" s="42"/>
      <c r="C638" s="41"/>
      <c r="D638" s="41"/>
      <c r="E638" s="41"/>
      <c r="F638" s="43"/>
      <c r="G638" s="44"/>
      <c r="H638" s="45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4.25" customHeight="1">
      <c r="A639" s="42"/>
      <c r="B639" s="42"/>
      <c r="C639" s="41"/>
      <c r="D639" s="41"/>
      <c r="E639" s="41"/>
      <c r="F639" s="43"/>
      <c r="G639" s="44"/>
      <c r="H639" s="45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4.25" customHeight="1">
      <c r="A640" s="42"/>
      <c r="B640" s="42"/>
      <c r="C640" s="41"/>
      <c r="D640" s="41"/>
      <c r="E640" s="41"/>
      <c r="F640" s="43"/>
      <c r="G640" s="44"/>
      <c r="H640" s="45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4.25" customHeight="1">
      <c r="A641" s="42"/>
      <c r="B641" s="42"/>
      <c r="C641" s="41"/>
      <c r="D641" s="41"/>
      <c r="E641" s="41"/>
      <c r="F641" s="43"/>
      <c r="G641" s="44"/>
      <c r="H641" s="45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4.25" customHeight="1">
      <c r="A642" s="42"/>
      <c r="B642" s="42"/>
      <c r="C642" s="41"/>
      <c r="D642" s="41"/>
      <c r="E642" s="41"/>
      <c r="F642" s="43"/>
      <c r="G642" s="44"/>
      <c r="H642" s="45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4.25" customHeight="1">
      <c r="A643" s="42"/>
      <c r="B643" s="42"/>
      <c r="C643" s="41"/>
      <c r="D643" s="41"/>
      <c r="E643" s="41"/>
      <c r="F643" s="43"/>
      <c r="G643" s="44"/>
      <c r="H643" s="45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4.25" customHeight="1">
      <c r="A644" s="42"/>
      <c r="B644" s="42"/>
      <c r="C644" s="41"/>
      <c r="D644" s="41"/>
      <c r="E644" s="41"/>
      <c r="F644" s="43"/>
      <c r="G644" s="44"/>
      <c r="H644" s="45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4.25" customHeight="1">
      <c r="A645" s="42"/>
      <c r="B645" s="42"/>
      <c r="C645" s="41"/>
      <c r="D645" s="41"/>
      <c r="E645" s="41"/>
      <c r="F645" s="43"/>
      <c r="G645" s="44"/>
      <c r="H645" s="45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4.25" customHeight="1">
      <c r="A646" s="42"/>
      <c r="B646" s="42"/>
      <c r="C646" s="41"/>
      <c r="D646" s="41"/>
      <c r="E646" s="41"/>
      <c r="F646" s="43"/>
      <c r="G646" s="44"/>
      <c r="H646" s="45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4.25" customHeight="1">
      <c r="A647" s="42"/>
      <c r="B647" s="42"/>
      <c r="C647" s="41"/>
      <c r="D647" s="41"/>
      <c r="E647" s="41"/>
      <c r="F647" s="43"/>
      <c r="G647" s="44"/>
      <c r="H647" s="45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4.25" customHeight="1">
      <c r="A648" s="42"/>
      <c r="B648" s="42"/>
      <c r="C648" s="41"/>
      <c r="D648" s="41"/>
      <c r="E648" s="41"/>
      <c r="F648" s="43"/>
      <c r="G648" s="44"/>
      <c r="H648" s="45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4.25" customHeight="1">
      <c r="A649" s="42"/>
      <c r="B649" s="42"/>
      <c r="C649" s="41"/>
      <c r="D649" s="41"/>
      <c r="E649" s="41"/>
      <c r="F649" s="43"/>
      <c r="G649" s="44"/>
      <c r="H649" s="45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4.25" customHeight="1">
      <c r="A650" s="42"/>
      <c r="B650" s="42"/>
      <c r="C650" s="41"/>
      <c r="D650" s="41"/>
      <c r="E650" s="41"/>
      <c r="F650" s="43"/>
      <c r="G650" s="44"/>
      <c r="H650" s="45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4.25" customHeight="1">
      <c r="A651" s="42"/>
      <c r="B651" s="42"/>
      <c r="C651" s="41"/>
      <c r="D651" s="41"/>
      <c r="E651" s="41"/>
      <c r="F651" s="43"/>
      <c r="G651" s="44"/>
      <c r="H651" s="45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4.25" customHeight="1">
      <c r="A652" s="42"/>
      <c r="B652" s="42"/>
      <c r="C652" s="41"/>
      <c r="D652" s="41"/>
      <c r="E652" s="41"/>
      <c r="F652" s="43"/>
      <c r="G652" s="44"/>
      <c r="H652" s="45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4.25" customHeight="1">
      <c r="A653" s="42"/>
      <c r="B653" s="42"/>
      <c r="C653" s="41"/>
      <c r="D653" s="41"/>
      <c r="E653" s="41"/>
      <c r="F653" s="43"/>
      <c r="G653" s="44"/>
      <c r="H653" s="45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4.25" customHeight="1">
      <c r="A654" s="42"/>
      <c r="B654" s="42"/>
      <c r="C654" s="41"/>
      <c r="D654" s="41"/>
      <c r="E654" s="41"/>
      <c r="F654" s="43"/>
      <c r="G654" s="44"/>
      <c r="H654" s="45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4.25" customHeight="1">
      <c r="A655" s="42"/>
      <c r="B655" s="42"/>
      <c r="C655" s="41"/>
      <c r="D655" s="41"/>
      <c r="E655" s="41"/>
      <c r="F655" s="43"/>
      <c r="G655" s="44"/>
      <c r="H655" s="45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4.25" customHeight="1">
      <c r="A656" s="42"/>
      <c r="B656" s="42"/>
      <c r="C656" s="41"/>
      <c r="D656" s="41"/>
      <c r="E656" s="41"/>
      <c r="F656" s="43"/>
      <c r="G656" s="44"/>
      <c r="H656" s="45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4.25" customHeight="1">
      <c r="A657" s="42"/>
      <c r="B657" s="42"/>
      <c r="C657" s="41"/>
      <c r="D657" s="41"/>
      <c r="E657" s="41"/>
      <c r="F657" s="43"/>
      <c r="G657" s="44"/>
      <c r="H657" s="45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4.25" customHeight="1">
      <c r="A658" s="42"/>
      <c r="B658" s="42"/>
      <c r="C658" s="41"/>
      <c r="D658" s="41"/>
      <c r="E658" s="41"/>
      <c r="F658" s="43"/>
      <c r="G658" s="44"/>
      <c r="H658" s="45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4.25" customHeight="1">
      <c r="A659" s="42"/>
      <c r="B659" s="42"/>
      <c r="C659" s="41"/>
      <c r="D659" s="41"/>
      <c r="E659" s="41"/>
      <c r="F659" s="43"/>
      <c r="G659" s="44"/>
      <c r="H659" s="45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4.25" customHeight="1">
      <c r="A660" s="42"/>
      <c r="B660" s="42"/>
      <c r="C660" s="41"/>
      <c r="D660" s="41"/>
      <c r="E660" s="41"/>
      <c r="F660" s="43"/>
      <c r="G660" s="44"/>
      <c r="H660" s="45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4.25" customHeight="1">
      <c r="A661" s="42"/>
      <c r="B661" s="42"/>
      <c r="C661" s="41"/>
      <c r="D661" s="41"/>
      <c r="E661" s="41"/>
      <c r="F661" s="43"/>
      <c r="G661" s="44"/>
      <c r="H661" s="45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4.25" customHeight="1">
      <c r="A662" s="42"/>
      <c r="B662" s="42"/>
      <c r="C662" s="41"/>
      <c r="D662" s="41"/>
      <c r="E662" s="41"/>
      <c r="F662" s="43"/>
      <c r="G662" s="44"/>
      <c r="H662" s="45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4.25" customHeight="1">
      <c r="A663" s="42"/>
      <c r="B663" s="42"/>
      <c r="C663" s="41"/>
      <c r="D663" s="41"/>
      <c r="E663" s="41"/>
      <c r="F663" s="43"/>
      <c r="G663" s="44"/>
      <c r="H663" s="45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4.25" customHeight="1">
      <c r="A664" s="42"/>
      <c r="B664" s="42"/>
      <c r="C664" s="41"/>
      <c r="D664" s="41"/>
      <c r="E664" s="41"/>
      <c r="F664" s="43"/>
      <c r="G664" s="44"/>
      <c r="H664" s="45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4.25" customHeight="1">
      <c r="A665" s="42"/>
      <c r="B665" s="42"/>
      <c r="C665" s="41"/>
      <c r="D665" s="41"/>
      <c r="E665" s="41"/>
      <c r="F665" s="43"/>
      <c r="G665" s="44"/>
      <c r="H665" s="45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4.25" customHeight="1">
      <c r="A666" s="42"/>
      <c r="B666" s="42"/>
      <c r="C666" s="41"/>
      <c r="D666" s="41"/>
      <c r="E666" s="41"/>
      <c r="F666" s="43"/>
      <c r="G666" s="44"/>
      <c r="H666" s="45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4.25" customHeight="1">
      <c r="A667" s="42"/>
      <c r="B667" s="42"/>
      <c r="C667" s="41"/>
      <c r="D667" s="41"/>
      <c r="E667" s="41"/>
      <c r="F667" s="43"/>
      <c r="G667" s="44"/>
      <c r="H667" s="45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4.25" customHeight="1">
      <c r="A668" s="42"/>
      <c r="B668" s="42"/>
      <c r="C668" s="41"/>
      <c r="D668" s="41"/>
      <c r="E668" s="41"/>
      <c r="F668" s="43"/>
      <c r="G668" s="44"/>
      <c r="H668" s="45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4.25" customHeight="1">
      <c r="A669" s="42"/>
      <c r="B669" s="42"/>
      <c r="C669" s="41"/>
      <c r="D669" s="41"/>
      <c r="E669" s="41"/>
      <c r="F669" s="43"/>
      <c r="G669" s="44"/>
      <c r="H669" s="45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4.25" customHeight="1">
      <c r="A670" s="42"/>
      <c r="B670" s="42"/>
      <c r="C670" s="41"/>
      <c r="D670" s="41"/>
      <c r="E670" s="41"/>
      <c r="F670" s="43"/>
      <c r="G670" s="44"/>
      <c r="H670" s="45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4.25" customHeight="1">
      <c r="A671" s="42"/>
      <c r="B671" s="42"/>
      <c r="C671" s="41"/>
      <c r="D671" s="41"/>
      <c r="E671" s="41"/>
      <c r="F671" s="43"/>
      <c r="G671" s="44"/>
      <c r="H671" s="45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4.25" customHeight="1">
      <c r="A672" s="42"/>
      <c r="B672" s="42"/>
      <c r="C672" s="41"/>
      <c r="D672" s="41"/>
      <c r="E672" s="41"/>
      <c r="F672" s="43"/>
      <c r="G672" s="44"/>
      <c r="H672" s="45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4.25" customHeight="1">
      <c r="A673" s="42"/>
      <c r="B673" s="42"/>
      <c r="C673" s="41"/>
      <c r="D673" s="41"/>
      <c r="E673" s="41"/>
      <c r="F673" s="43"/>
      <c r="G673" s="44"/>
      <c r="H673" s="45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4.25" customHeight="1">
      <c r="A674" s="42"/>
      <c r="B674" s="42"/>
      <c r="C674" s="41"/>
      <c r="D674" s="41"/>
      <c r="E674" s="41"/>
      <c r="F674" s="43"/>
      <c r="G674" s="44"/>
      <c r="H674" s="45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4.25" customHeight="1">
      <c r="A675" s="42"/>
      <c r="B675" s="42"/>
      <c r="C675" s="41"/>
      <c r="D675" s="41"/>
      <c r="E675" s="41"/>
      <c r="F675" s="43"/>
      <c r="G675" s="44"/>
      <c r="H675" s="45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4.25" customHeight="1">
      <c r="A676" s="42"/>
      <c r="B676" s="42"/>
      <c r="C676" s="41"/>
      <c r="D676" s="41"/>
      <c r="E676" s="41"/>
      <c r="F676" s="43"/>
      <c r="G676" s="44"/>
      <c r="H676" s="45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4.25" customHeight="1">
      <c r="A677" s="42"/>
      <c r="B677" s="42"/>
      <c r="C677" s="41"/>
      <c r="D677" s="41"/>
      <c r="E677" s="41"/>
      <c r="F677" s="43"/>
      <c r="G677" s="44"/>
      <c r="H677" s="45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4.25" customHeight="1">
      <c r="A678" s="42"/>
      <c r="B678" s="42"/>
      <c r="C678" s="41"/>
      <c r="D678" s="41"/>
      <c r="E678" s="41"/>
      <c r="F678" s="43"/>
      <c r="G678" s="44"/>
      <c r="H678" s="45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4.25" customHeight="1">
      <c r="A679" s="42"/>
      <c r="B679" s="42"/>
      <c r="C679" s="41"/>
      <c r="D679" s="41"/>
      <c r="E679" s="41"/>
      <c r="F679" s="43"/>
      <c r="G679" s="44"/>
      <c r="H679" s="45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4.25" customHeight="1">
      <c r="A680" s="42"/>
      <c r="B680" s="42"/>
      <c r="C680" s="41"/>
      <c r="D680" s="41"/>
      <c r="E680" s="41"/>
      <c r="F680" s="43"/>
      <c r="G680" s="44"/>
      <c r="H680" s="45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4.25" customHeight="1">
      <c r="A681" s="42"/>
      <c r="B681" s="42"/>
      <c r="C681" s="41"/>
      <c r="D681" s="41"/>
      <c r="E681" s="41"/>
      <c r="F681" s="43"/>
      <c r="G681" s="44"/>
      <c r="H681" s="45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4.25" customHeight="1">
      <c r="A682" s="42"/>
      <c r="B682" s="42"/>
      <c r="C682" s="41"/>
      <c r="D682" s="41"/>
      <c r="E682" s="41"/>
      <c r="F682" s="43"/>
      <c r="G682" s="44"/>
      <c r="H682" s="45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4.25" customHeight="1">
      <c r="A683" s="42"/>
      <c r="B683" s="42"/>
      <c r="C683" s="41"/>
      <c r="D683" s="41"/>
      <c r="E683" s="41"/>
      <c r="F683" s="43"/>
      <c r="G683" s="44"/>
      <c r="H683" s="45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4.25" customHeight="1">
      <c r="A684" s="42"/>
      <c r="B684" s="42"/>
      <c r="C684" s="41"/>
      <c r="D684" s="41"/>
      <c r="E684" s="41"/>
      <c r="F684" s="43"/>
      <c r="G684" s="44"/>
      <c r="H684" s="45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4.25" customHeight="1">
      <c r="A685" s="42"/>
      <c r="B685" s="42"/>
      <c r="C685" s="41"/>
      <c r="D685" s="41"/>
      <c r="E685" s="41"/>
      <c r="F685" s="43"/>
      <c r="G685" s="44"/>
      <c r="H685" s="45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4.25" customHeight="1">
      <c r="A686" s="42"/>
      <c r="B686" s="42"/>
      <c r="C686" s="41"/>
      <c r="D686" s="41"/>
      <c r="E686" s="41"/>
      <c r="F686" s="43"/>
      <c r="G686" s="44"/>
      <c r="H686" s="45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4.25" customHeight="1">
      <c r="A687" s="42"/>
      <c r="B687" s="42"/>
      <c r="C687" s="41"/>
      <c r="D687" s="41"/>
      <c r="E687" s="41"/>
      <c r="F687" s="43"/>
      <c r="G687" s="44"/>
      <c r="H687" s="45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4.25" customHeight="1">
      <c r="A688" s="42"/>
      <c r="B688" s="42"/>
      <c r="C688" s="41"/>
      <c r="D688" s="41"/>
      <c r="E688" s="41"/>
      <c r="F688" s="43"/>
      <c r="G688" s="44"/>
      <c r="H688" s="45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4.25" customHeight="1">
      <c r="A689" s="42"/>
      <c r="B689" s="42"/>
      <c r="C689" s="41"/>
      <c r="D689" s="41"/>
      <c r="E689" s="41"/>
      <c r="F689" s="43"/>
      <c r="G689" s="44"/>
      <c r="H689" s="45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4.25" customHeight="1">
      <c r="A690" s="42"/>
      <c r="B690" s="42"/>
      <c r="C690" s="41"/>
      <c r="D690" s="41"/>
      <c r="E690" s="41"/>
      <c r="F690" s="43"/>
      <c r="G690" s="44"/>
      <c r="H690" s="45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4.25" customHeight="1">
      <c r="A691" s="42"/>
      <c r="B691" s="42"/>
      <c r="C691" s="41"/>
      <c r="D691" s="41"/>
      <c r="E691" s="41"/>
      <c r="F691" s="43"/>
      <c r="G691" s="44"/>
      <c r="H691" s="45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4.25" customHeight="1">
      <c r="A692" s="42"/>
      <c r="B692" s="42"/>
      <c r="C692" s="41"/>
      <c r="D692" s="41"/>
      <c r="E692" s="41"/>
      <c r="F692" s="43"/>
      <c r="G692" s="44"/>
      <c r="H692" s="45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4.25" customHeight="1">
      <c r="A693" s="42"/>
      <c r="B693" s="42"/>
      <c r="C693" s="41"/>
      <c r="D693" s="41"/>
      <c r="E693" s="41"/>
      <c r="F693" s="43"/>
      <c r="G693" s="44"/>
      <c r="H693" s="45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4.25" customHeight="1">
      <c r="A694" s="42"/>
      <c r="B694" s="42"/>
      <c r="C694" s="41"/>
      <c r="D694" s="41"/>
      <c r="E694" s="41"/>
      <c r="F694" s="43"/>
      <c r="G694" s="44"/>
      <c r="H694" s="45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4.25" customHeight="1">
      <c r="A695" s="42"/>
      <c r="B695" s="42"/>
      <c r="C695" s="41"/>
      <c r="D695" s="41"/>
      <c r="E695" s="41"/>
      <c r="F695" s="43"/>
      <c r="G695" s="44"/>
      <c r="H695" s="45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4.25" customHeight="1">
      <c r="A696" s="42"/>
      <c r="B696" s="42"/>
      <c r="C696" s="41"/>
      <c r="D696" s="41"/>
      <c r="E696" s="41"/>
      <c r="F696" s="43"/>
      <c r="G696" s="44"/>
      <c r="H696" s="45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4.25" customHeight="1">
      <c r="A697" s="42"/>
      <c r="B697" s="42"/>
      <c r="C697" s="41"/>
      <c r="D697" s="41"/>
      <c r="E697" s="41"/>
      <c r="F697" s="43"/>
      <c r="G697" s="44"/>
      <c r="H697" s="45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4.25" customHeight="1">
      <c r="A698" s="42"/>
      <c r="B698" s="42"/>
      <c r="C698" s="41"/>
      <c r="D698" s="41"/>
      <c r="E698" s="41"/>
      <c r="F698" s="43"/>
      <c r="G698" s="44"/>
      <c r="H698" s="45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4.25" customHeight="1">
      <c r="A699" s="42"/>
      <c r="B699" s="42"/>
      <c r="C699" s="41"/>
      <c r="D699" s="41"/>
      <c r="E699" s="41"/>
      <c r="F699" s="43"/>
      <c r="G699" s="44"/>
      <c r="H699" s="45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4.25" customHeight="1">
      <c r="A700" s="42"/>
      <c r="B700" s="42"/>
      <c r="C700" s="41"/>
      <c r="D700" s="41"/>
      <c r="E700" s="41"/>
      <c r="F700" s="43"/>
      <c r="G700" s="44"/>
      <c r="H700" s="45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4.25" customHeight="1">
      <c r="A701" s="42"/>
      <c r="B701" s="42"/>
      <c r="C701" s="41"/>
      <c r="D701" s="41"/>
      <c r="E701" s="41"/>
      <c r="F701" s="43"/>
      <c r="G701" s="44"/>
      <c r="H701" s="45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4.25" customHeight="1">
      <c r="A702" s="42"/>
      <c r="B702" s="42"/>
      <c r="C702" s="41"/>
      <c r="D702" s="41"/>
      <c r="E702" s="41"/>
      <c r="F702" s="43"/>
      <c r="G702" s="44"/>
      <c r="H702" s="45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4.25" customHeight="1">
      <c r="A703" s="42"/>
      <c r="B703" s="42"/>
      <c r="C703" s="41"/>
      <c r="D703" s="41"/>
      <c r="E703" s="41"/>
      <c r="F703" s="43"/>
      <c r="G703" s="44"/>
      <c r="H703" s="45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4.25" customHeight="1">
      <c r="A704" s="42"/>
      <c r="B704" s="42"/>
      <c r="C704" s="41"/>
      <c r="D704" s="41"/>
      <c r="E704" s="41"/>
      <c r="F704" s="43"/>
      <c r="G704" s="44"/>
      <c r="H704" s="45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4.25" customHeight="1">
      <c r="A705" s="42"/>
      <c r="B705" s="42"/>
      <c r="C705" s="41"/>
      <c r="D705" s="41"/>
      <c r="E705" s="41"/>
      <c r="F705" s="43"/>
      <c r="G705" s="44"/>
      <c r="H705" s="45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4.25" customHeight="1">
      <c r="A706" s="42"/>
      <c r="B706" s="42"/>
      <c r="C706" s="41"/>
      <c r="D706" s="41"/>
      <c r="E706" s="41"/>
      <c r="F706" s="43"/>
      <c r="G706" s="44"/>
      <c r="H706" s="45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4.25" customHeight="1">
      <c r="A707" s="42"/>
      <c r="B707" s="42"/>
      <c r="C707" s="41"/>
      <c r="D707" s="41"/>
      <c r="E707" s="41"/>
      <c r="F707" s="43"/>
      <c r="G707" s="44"/>
      <c r="H707" s="45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4.25" customHeight="1">
      <c r="A708" s="42"/>
      <c r="B708" s="42"/>
      <c r="C708" s="41"/>
      <c r="D708" s="41"/>
      <c r="E708" s="41"/>
      <c r="F708" s="43"/>
      <c r="G708" s="44"/>
      <c r="H708" s="45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4.25" customHeight="1">
      <c r="A709" s="42"/>
      <c r="B709" s="42"/>
      <c r="C709" s="41"/>
      <c r="D709" s="41"/>
      <c r="E709" s="41"/>
      <c r="F709" s="43"/>
      <c r="G709" s="44"/>
      <c r="H709" s="45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4.25" customHeight="1">
      <c r="A710" s="42"/>
      <c r="B710" s="42"/>
      <c r="C710" s="41"/>
      <c r="D710" s="41"/>
      <c r="E710" s="41"/>
      <c r="F710" s="43"/>
      <c r="G710" s="44"/>
      <c r="H710" s="45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4.25" customHeight="1">
      <c r="A711" s="42"/>
      <c r="B711" s="42"/>
      <c r="C711" s="41"/>
      <c r="D711" s="41"/>
      <c r="E711" s="41"/>
      <c r="F711" s="43"/>
      <c r="G711" s="44"/>
      <c r="H711" s="45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4.25" customHeight="1">
      <c r="A712" s="42"/>
      <c r="B712" s="42"/>
      <c r="C712" s="41"/>
      <c r="D712" s="41"/>
      <c r="E712" s="41"/>
      <c r="F712" s="43"/>
      <c r="G712" s="44"/>
      <c r="H712" s="45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4.25" customHeight="1">
      <c r="A713" s="42"/>
      <c r="B713" s="42"/>
      <c r="C713" s="41"/>
      <c r="D713" s="41"/>
      <c r="E713" s="41"/>
      <c r="F713" s="43"/>
      <c r="G713" s="44"/>
      <c r="H713" s="45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4.25" customHeight="1">
      <c r="A714" s="42"/>
      <c r="B714" s="42"/>
      <c r="C714" s="41"/>
      <c r="D714" s="41"/>
      <c r="E714" s="41"/>
      <c r="F714" s="43"/>
      <c r="G714" s="44"/>
      <c r="H714" s="45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4.25" customHeight="1">
      <c r="A715" s="42"/>
      <c r="B715" s="42"/>
      <c r="C715" s="41"/>
      <c r="D715" s="41"/>
      <c r="E715" s="41"/>
      <c r="F715" s="43"/>
      <c r="G715" s="44"/>
      <c r="H715" s="45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4.25" customHeight="1">
      <c r="A716" s="42"/>
      <c r="B716" s="42"/>
      <c r="C716" s="41"/>
      <c r="D716" s="41"/>
      <c r="E716" s="41"/>
      <c r="F716" s="43"/>
      <c r="G716" s="44"/>
      <c r="H716" s="45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4.25" customHeight="1">
      <c r="A717" s="42"/>
      <c r="B717" s="42"/>
      <c r="C717" s="41"/>
      <c r="D717" s="41"/>
      <c r="E717" s="41"/>
      <c r="F717" s="43"/>
      <c r="G717" s="44"/>
      <c r="H717" s="45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4.25" customHeight="1">
      <c r="A718" s="42"/>
      <c r="B718" s="42"/>
      <c r="C718" s="41"/>
      <c r="D718" s="41"/>
      <c r="E718" s="41"/>
      <c r="F718" s="43"/>
      <c r="G718" s="44"/>
      <c r="H718" s="45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4.25" customHeight="1">
      <c r="A719" s="42"/>
      <c r="B719" s="42"/>
      <c r="C719" s="41"/>
      <c r="D719" s="41"/>
      <c r="E719" s="41"/>
      <c r="F719" s="43"/>
      <c r="G719" s="44"/>
      <c r="H719" s="45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4.25" customHeight="1">
      <c r="A720" s="42"/>
      <c r="B720" s="42"/>
      <c r="C720" s="41"/>
      <c r="D720" s="41"/>
      <c r="E720" s="41"/>
      <c r="F720" s="43"/>
      <c r="G720" s="44"/>
      <c r="H720" s="45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4.25" customHeight="1">
      <c r="A721" s="42"/>
      <c r="B721" s="42"/>
      <c r="C721" s="41"/>
      <c r="D721" s="41"/>
      <c r="E721" s="41"/>
      <c r="F721" s="43"/>
      <c r="G721" s="44"/>
      <c r="H721" s="45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4.25" customHeight="1">
      <c r="A722" s="42"/>
      <c r="B722" s="42"/>
      <c r="C722" s="41"/>
      <c r="D722" s="41"/>
      <c r="E722" s="41"/>
      <c r="F722" s="43"/>
      <c r="G722" s="44"/>
      <c r="H722" s="45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4.25" customHeight="1">
      <c r="A723" s="42"/>
      <c r="B723" s="42"/>
      <c r="C723" s="41"/>
      <c r="D723" s="41"/>
      <c r="E723" s="41"/>
      <c r="F723" s="43"/>
      <c r="G723" s="44"/>
      <c r="H723" s="45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4.25" customHeight="1">
      <c r="A724" s="42"/>
      <c r="B724" s="42"/>
      <c r="C724" s="41"/>
      <c r="D724" s="41"/>
      <c r="E724" s="41"/>
      <c r="F724" s="43"/>
      <c r="G724" s="44"/>
      <c r="H724" s="45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4.25" customHeight="1">
      <c r="A725" s="42"/>
      <c r="B725" s="42"/>
      <c r="C725" s="41"/>
      <c r="D725" s="41"/>
      <c r="E725" s="41"/>
      <c r="F725" s="43"/>
      <c r="G725" s="44"/>
      <c r="H725" s="45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4.25" customHeight="1">
      <c r="A726" s="42"/>
      <c r="B726" s="42"/>
      <c r="C726" s="41"/>
      <c r="D726" s="41"/>
      <c r="E726" s="41"/>
      <c r="F726" s="43"/>
      <c r="G726" s="44"/>
      <c r="H726" s="45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4.25" customHeight="1">
      <c r="A727" s="42"/>
      <c r="B727" s="42"/>
      <c r="C727" s="41"/>
      <c r="D727" s="41"/>
      <c r="E727" s="41"/>
      <c r="F727" s="43"/>
      <c r="G727" s="44"/>
      <c r="H727" s="45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4.25" customHeight="1">
      <c r="A728" s="42"/>
      <c r="B728" s="42"/>
      <c r="C728" s="41"/>
      <c r="D728" s="41"/>
      <c r="E728" s="41"/>
      <c r="F728" s="43"/>
      <c r="G728" s="44"/>
      <c r="H728" s="45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4.25" customHeight="1">
      <c r="A729" s="42"/>
      <c r="B729" s="42"/>
      <c r="C729" s="41"/>
      <c r="D729" s="41"/>
      <c r="E729" s="41"/>
      <c r="F729" s="43"/>
      <c r="G729" s="44"/>
      <c r="H729" s="45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4.25" customHeight="1">
      <c r="A730" s="42"/>
      <c r="B730" s="42"/>
      <c r="C730" s="41"/>
      <c r="D730" s="41"/>
      <c r="E730" s="41"/>
      <c r="F730" s="43"/>
      <c r="G730" s="44"/>
      <c r="H730" s="45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4.25" customHeight="1">
      <c r="A731" s="42"/>
      <c r="B731" s="42"/>
      <c r="C731" s="41"/>
      <c r="D731" s="41"/>
      <c r="E731" s="41"/>
      <c r="F731" s="43"/>
      <c r="G731" s="44"/>
      <c r="H731" s="45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4.25" customHeight="1">
      <c r="A732" s="42"/>
      <c r="B732" s="42"/>
      <c r="C732" s="41"/>
      <c r="D732" s="41"/>
      <c r="E732" s="41"/>
      <c r="F732" s="43"/>
      <c r="G732" s="44"/>
      <c r="H732" s="45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4.25" customHeight="1">
      <c r="A733" s="42"/>
      <c r="B733" s="42"/>
      <c r="C733" s="41"/>
      <c r="D733" s="41"/>
      <c r="E733" s="41"/>
      <c r="F733" s="43"/>
      <c r="G733" s="44"/>
      <c r="H733" s="45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4.25" customHeight="1">
      <c r="A734" s="42"/>
      <c r="B734" s="42"/>
      <c r="C734" s="41"/>
      <c r="D734" s="41"/>
      <c r="E734" s="41"/>
      <c r="F734" s="43"/>
      <c r="G734" s="44"/>
      <c r="H734" s="45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4.25" customHeight="1">
      <c r="A735" s="42"/>
      <c r="B735" s="42"/>
      <c r="C735" s="41"/>
      <c r="D735" s="41"/>
      <c r="E735" s="41"/>
      <c r="F735" s="43"/>
      <c r="G735" s="44"/>
      <c r="H735" s="45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4.25" customHeight="1">
      <c r="A736" s="42"/>
      <c r="B736" s="42"/>
      <c r="C736" s="41"/>
      <c r="D736" s="41"/>
      <c r="E736" s="41"/>
      <c r="F736" s="43"/>
      <c r="G736" s="44"/>
      <c r="H736" s="45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4.25" customHeight="1">
      <c r="A737" s="42"/>
      <c r="B737" s="42"/>
      <c r="C737" s="41"/>
      <c r="D737" s="41"/>
      <c r="E737" s="41"/>
      <c r="F737" s="43"/>
      <c r="G737" s="44"/>
      <c r="H737" s="45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4.25" customHeight="1">
      <c r="A738" s="42"/>
      <c r="B738" s="42"/>
      <c r="C738" s="41"/>
      <c r="D738" s="41"/>
      <c r="E738" s="41"/>
      <c r="F738" s="43"/>
      <c r="G738" s="44"/>
      <c r="H738" s="45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4.25" customHeight="1">
      <c r="A739" s="42"/>
      <c r="B739" s="42"/>
      <c r="C739" s="41"/>
      <c r="D739" s="41"/>
      <c r="E739" s="41"/>
      <c r="F739" s="43"/>
      <c r="G739" s="44"/>
      <c r="H739" s="45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4.25" customHeight="1">
      <c r="A740" s="42"/>
      <c r="B740" s="42"/>
      <c r="C740" s="41"/>
      <c r="D740" s="41"/>
      <c r="E740" s="41"/>
      <c r="F740" s="43"/>
      <c r="G740" s="44"/>
      <c r="H740" s="45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4.25" customHeight="1">
      <c r="A741" s="42"/>
      <c r="B741" s="42"/>
      <c r="C741" s="41"/>
      <c r="D741" s="41"/>
      <c r="E741" s="41"/>
      <c r="F741" s="43"/>
      <c r="G741" s="44"/>
      <c r="H741" s="45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4.25" customHeight="1">
      <c r="A742" s="42"/>
      <c r="B742" s="42"/>
      <c r="C742" s="41"/>
      <c r="D742" s="41"/>
      <c r="E742" s="41"/>
      <c r="F742" s="43"/>
      <c r="G742" s="44"/>
      <c r="H742" s="45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4.25" customHeight="1">
      <c r="A743" s="42"/>
      <c r="B743" s="42"/>
      <c r="C743" s="41"/>
      <c r="D743" s="41"/>
      <c r="E743" s="41"/>
      <c r="F743" s="43"/>
      <c r="G743" s="44"/>
      <c r="H743" s="45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4.25" customHeight="1">
      <c r="A744" s="42"/>
      <c r="B744" s="42"/>
      <c r="C744" s="41"/>
      <c r="D744" s="41"/>
      <c r="E744" s="41"/>
      <c r="F744" s="43"/>
      <c r="G744" s="44"/>
      <c r="H744" s="45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4.25" customHeight="1">
      <c r="A745" s="42"/>
      <c r="B745" s="42"/>
      <c r="C745" s="41"/>
      <c r="D745" s="41"/>
      <c r="E745" s="41"/>
      <c r="F745" s="43"/>
      <c r="G745" s="44"/>
      <c r="H745" s="45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4.25" customHeight="1">
      <c r="A746" s="42"/>
      <c r="B746" s="42"/>
      <c r="C746" s="41"/>
      <c r="D746" s="41"/>
      <c r="E746" s="41"/>
      <c r="F746" s="43"/>
      <c r="G746" s="44"/>
      <c r="H746" s="45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4.25" customHeight="1">
      <c r="A747" s="42"/>
      <c r="B747" s="42"/>
      <c r="C747" s="41"/>
      <c r="D747" s="41"/>
      <c r="E747" s="41"/>
      <c r="F747" s="43"/>
      <c r="G747" s="44"/>
      <c r="H747" s="45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4.25" customHeight="1">
      <c r="A748" s="42"/>
      <c r="B748" s="42"/>
      <c r="C748" s="41"/>
      <c r="D748" s="41"/>
      <c r="E748" s="41"/>
      <c r="F748" s="43"/>
      <c r="G748" s="44"/>
      <c r="H748" s="45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4.25" customHeight="1">
      <c r="A749" s="42"/>
      <c r="B749" s="42"/>
      <c r="C749" s="41"/>
      <c r="D749" s="41"/>
      <c r="E749" s="41"/>
      <c r="F749" s="43"/>
      <c r="G749" s="44"/>
      <c r="H749" s="45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4.25" customHeight="1">
      <c r="A750" s="42"/>
      <c r="B750" s="42"/>
      <c r="C750" s="41"/>
      <c r="D750" s="41"/>
      <c r="E750" s="41"/>
      <c r="F750" s="43"/>
      <c r="G750" s="44"/>
      <c r="H750" s="45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4.25" customHeight="1">
      <c r="A751" s="42"/>
      <c r="B751" s="42"/>
      <c r="C751" s="41"/>
      <c r="D751" s="41"/>
      <c r="E751" s="41"/>
      <c r="F751" s="43"/>
      <c r="G751" s="44"/>
      <c r="H751" s="45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4.25" customHeight="1">
      <c r="A752" s="42"/>
      <c r="B752" s="42"/>
      <c r="C752" s="41"/>
      <c r="D752" s="41"/>
      <c r="E752" s="41"/>
      <c r="F752" s="43"/>
      <c r="G752" s="44"/>
      <c r="H752" s="45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4.25" customHeight="1">
      <c r="A753" s="42"/>
      <c r="B753" s="42"/>
      <c r="C753" s="41"/>
      <c r="D753" s="41"/>
      <c r="E753" s="41"/>
      <c r="F753" s="43"/>
      <c r="G753" s="44"/>
      <c r="H753" s="45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4.25" customHeight="1">
      <c r="A754" s="42"/>
      <c r="B754" s="42"/>
      <c r="C754" s="41"/>
      <c r="D754" s="41"/>
      <c r="E754" s="41"/>
      <c r="F754" s="43"/>
      <c r="G754" s="44"/>
      <c r="H754" s="45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4.25" customHeight="1">
      <c r="A755" s="42"/>
      <c r="B755" s="42"/>
      <c r="C755" s="41"/>
      <c r="D755" s="41"/>
      <c r="E755" s="41"/>
      <c r="F755" s="43"/>
      <c r="G755" s="44"/>
      <c r="H755" s="45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4.25" customHeight="1">
      <c r="A756" s="42"/>
      <c r="B756" s="42"/>
      <c r="C756" s="41"/>
      <c r="D756" s="41"/>
      <c r="E756" s="41"/>
      <c r="F756" s="43"/>
      <c r="G756" s="44"/>
      <c r="H756" s="45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4.25" customHeight="1">
      <c r="A757" s="42"/>
      <c r="B757" s="42"/>
      <c r="C757" s="41"/>
      <c r="D757" s="41"/>
      <c r="E757" s="41"/>
      <c r="F757" s="43"/>
      <c r="G757" s="44"/>
      <c r="H757" s="45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4.25" customHeight="1">
      <c r="A758" s="42"/>
      <c r="B758" s="42"/>
      <c r="C758" s="41"/>
      <c r="D758" s="41"/>
      <c r="E758" s="41"/>
      <c r="F758" s="43"/>
      <c r="G758" s="44"/>
      <c r="H758" s="45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4.25" customHeight="1">
      <c r="A759" s="42"/>
      <c r="B759" s="42"/>
      <c r="C759" s="41"/>
      <c r="D759" s="41"/>
      <c r="E759" s="41"/>
      <c r="F759" s="43"/>
      <c r="G759" s="44"/>
      <c r="H759" s="45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4.25" customHeight="1">
      <c r="A760" s="42"/>
      <c r="B760" s="42"/>
      <c r="C760" s="41"/>
      <c r="D760" s="41"/>
      <c r="E760" s="41"/>
      <c r="F760" s="43"/>
      <c r="G760" s="44"/>
      <c r="H760" s="45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4.25" customHeight="1">
      <c r="A761" s="42"/>
      <c r="B761" s="42"/>
      <c r="C761" s="41"/>
      <c r="D761" s="41"/>
      <c r="E761" s="41"/>
      <c r="F761" s="43"/>
      <c r="G761" s="44"/>
      <c r="H761" s="45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4.25" customHeight="1">
      <c r="A762" s="42"/>
      <c r="B762" s="42"/>
      <c r="C762" s="41"/>
      <c r="D762" s="41"/>
      <c r="E762" s="41"/>
      <c r="F762" s="43"/>
      <c r="G762" s="44"/>
      <c r="H762" s="45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4.25" customHeight="1">
      <c r="A763" s="42"/>
      <c r="B763" s="42"/>
      <c r="C763" s="41"/>
      <c r="D763" s="41"/>
      <c r="E763" s="41"/>
      <c r="F763" s="43"/>
      <c r="G763" s="44"/>
      <c r="H763" s="45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4.25" customHeight="1">
      <c r="A764" s="42"/>
      <c r="B764" s="42"/>
      <c r="C764" s="41"/>
      <c r="D764" s="41"/>
      <c r="E764" s="41"/>
      <c r="F764" s="43"/>
      <c r="G764" s="44"/>
      <c r="H764" s="45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4.25" customHeight="1">
      <c r="A765" s="42"/>
      <c r="B765" s="42"/>
      <c r="C765" s="41"/>
      <c r="D765" s="41"/>
      <c r="E765" s="41"/>
      <c r="F765" s="43"/>
      <c r="G765" s="44"/>
      <c r="H765" s="45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4.25" customHeight="1">
      <c r="A766" s="42"/>
      <c r="B766" s="42"/>
      <c r="C766" s="41"/>
      <c r="D766" s="41"/>
      <c r="E766" s="41"/>
      <c r="F766" s="43"/>
      <c r="G766" s="44"/>
      <c r="H766" s="45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4.25" customHeight="1">
      <c r="A767" s="42"/>
      <c r="B767" s="42"/>
      <c r="C767" s="41"/>
      <c r="D767" s="41"/>
      <c r="E767" s="41"/>
      <c r="F767" s="43"/>
      <c r="G767" s="44"/>
      <c r="H767" s="45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4.25" customHeight="1">
      <c r="A768" s="42"/>
      <c r="B768" s="42"/>
      <c r="C768" s="41"/>
      <c r="D768" s="41"/>
      <c r="E768" s="41"/>
      <c r="F768" s="43"/>
      <c r="G768" s="44"/>
      <c r="H768" s="45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4.25" customHeight="1">
      <c r="A769" s="42"/>
      <c r="B769" s="42"/>
      <c r="C769" s="41"/>
      <c r="D769" s="41"/>
      <c r="E769" s="41"/>
      <c r="F769" s="43"/>
      <c r="G769" s="44"/>
      <c r="H769" s="45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4.25" customHeight="1">
      <c r="A770" s="42"/>
      <c r="B770" s="42"/>
      <c r="C770" s="41"/>
      <c r="D770" s="41"/>
      <c r="E770" s="41"/>
      <c r="F770" s="43"/>
      <c r="G770" s="44"/>
      <c r="H770" s="45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4.25" customHeight="1">
      <c r="A771" s="42"/>
      <c r="B771" s="42"/>
      <c r="C771" s="41"/>
      <c r="D771" s="41"/>
      <c r="E771" s="41"/>
      <c r="F771" s="43"/>
      <c r="G771" s="44"/>
      <c r="H771" s="45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4.25" customHeight="1">
      <c r="A772" s="42"/>
      <c r="B772" s="42"/>
      <c r="C772" s="41"/>
      <c r="D772" s="41"/>
      <c r="E772" s="41"/>
      <c r="F772" s="43"/>
      <c r="G772" s="44"/>
      <c r="H772" s="45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4.25" customHeight="1">
      <c r="A773" s="42"/>
      <c r="B773" s="42"/>
      <c r="C773" s="41"/>
      <c r="D773" s="41"/>
      <c r="E773" s="41"/>
      <c r="F773" s="43"/>
      <c r="G773" s="44"/>
      <c r="H773" s="45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4.25" customHeight="1">
      <c r="A774" s="42"/>
      <c r="B774" s="42"/>
      <c r="C774" s="41"/>
      <c r="D774" s="41"/>
      <c r="E774" s="41"/>
      <c r="F774" s="43"/>
      <c r="G774" s="44"/>
      <c r="H774" s="45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4.25" customHeight="1">
      <c r="A775" s="42"/>
      <c r="B775" s="42"/>
      <c r="C775" s="41"/>
      <c r="D775" s="41"/>
      <c r="E775" s="41"/>
      <c r="F775" s="43"/>
      <c r="G775" s="44"/>
      <c r="H775" s="45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4.25" customHeight="1">
      <c r="A776" s="42"/>
      <c r="B776" s="42"/>
      <c r="C776" s="41"/>
      <c r="D776" s="41"/>
      <c r="E776" s="41"/>
      <c r="F776" s="43"/>
      <c r="G776" s="44"/>
      <c r="H776" s="45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4.25" customHeight="1">
      <c r="A777" s="42"/>
      <c r="B777" s="42"/>
      <c r="C777" s="41"/>
      <c r="D777" s="41"/>
      <c r="E777" s="41"/>
      <c r="F777" s="43"/>
      <c r="G777" s="44"/>
      <c r="H777" s="45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4.25" customHeight="1">
      <c r="A778" s="42"/>
      <c r="B778" s="42"/>
      <c r="C778" s="41"/>
      <c r="D778" s="41"/>
      <c r="E778" s="41"/>
      <c r="F778" s="43"/>
      <c r="G778" s="44"/>
      <c r="H778" s="45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4.25" customHeight="1">
      <c r="A779" s="42"/>
      <c r="B779" s="42"/>
      <c r="C779" s="41"/>
      <c r="D779" s="41"/>
      <c r="E779" s="41"/>
      <c r="F779" s="43"/>
      <c r="G779" s="44"/>
      <c r="H779" s="45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4.25" customHeight="1">
      <c r="A780" s="42"/>
      <c r="B780" s="42"/>
      <c r="C780" s="41"/>
      <c r="D780" s="41"/>
      <c r="E780" s="41"/>
      <c r="F780" s="43"/>
      <c r="G780" s="44"/>
      <c r="H780" s="45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4.25" customHeight="1">
      <c r="A781" s="42"/>
      <c r="B781" s="42"/>
      <c r="C781" s="41"/>
      <c r="D781" s="41"/>
      <c r="E781" s="41"/>
      <c r="F781" s="43"/>
      <c r="G781" s="44"/>
      <c r="H781" s="45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4.25" customHeight="1">
      <c r="A782" s="42"/>
      <c r="B782" s="42"/>
      <c r="C782" s="41"/>
      <c r="D782" s="41"/>
      <c r="E782" s="41"/>
      <c r="F782" s="43"/>
      <c r="G782" s="44"/>
      <c r="H782" s="45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4.25" customHeight="1">
      <c r="A783" s="42"/>
      <c r="B783" s="42"/>
      <c r="C783" s="41"/>
      <c r="D783" s="41"/>
      <c r="E783" s="41"/>
      <c r="F783" s="43"/>
      <c r="G783" s="44"/>
      <c r="H783" s="45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4.25" customHeight="1">
      <c r="A784" s="42"/>
      <c r="B784" s="42"/>
      <c r="C784" s="41"/>
      <c r="D784" s="41"/>
      <c r="E784" s="41"/>
      <c r="F784" s="43"/>
      <c r="G784" s="44"/>
      <c r="H784" s="45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4.25" customHeight="1">
      <c r="A785" s="42"/>
      <c r="B785" s="42"/>
      <c r="C785" s="41"/>
      <c r="D785" s="41"/>
      <c r="E785" s="41"/>
      <c r="F785" s="43"/>
      <c r="G785" s="44"/>
      <c r="H785" s="45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4.25" customHeight="1">
      <c r="A786" s="42"/>
      <c r="B786" s="42"/>
      <c r="C786" s="41"/>
      <c r="D786" s="41"/>
      <c r="E786" s="41"/>
      <c r="F786" s="43"/>
      <c r="G786" s="44"/>
      <c r="H786" s="45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4.25" customHeight="1">
      <c r="A787" s="42"/>
      <c r="B787" s="42"/>
      <c r="C787" s="41"/>
      <c r="D787" s="41"/>
      <c r="E787" s="41"/>
      <c r="F787" s="43"/>
      <c r="G787" s="44"/>
      <c r="H787" s="45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4.25" customHeight="1">
      <c r="A788" s="42"/>
      <c r="B788" s="42"/>
      <c r="C788" s="41"/>
      <c r="D788" s="41"/>
      <c r="E788" s="41"/>
      <c r="F788" s="43"/>
      <c r="G788" s="44"/>
      <c r="H788" s="45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4.25" customHeight="1">
      <c r="A789" s="42"/>
      <c r="B789" s="42"/>
      <c r="C789" s="41"/>
      <c r="D789" s="41"/>
      <c r="E789" s="41"/>
      <c r="F789" s="43"/>
      <c r="G789" s="44"/>
      <c r="H789" s="45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4.25" customHeight="1">
      <c r="A790" s="42"/>
      <c r="B790" s="42"/>
      <c r="C790" s="41"/>
      <c r="D790" s="41"/>
      <c r="E790" s="41"/>
      <c r="F790" s="43"/>
      <c r="G790" s="44"/>
      <c r="H790" s="45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4.25" customHeight="1">
      <c r="A791" s="42"/>
      <c r="B791" s="42"/>
      <c r="C791" s="41"/>
      <c r="D791" s="41"/>
      <c r="E791" s="41"/>
      <c r="F791" s="43"/>
      <c r="G791" s="44"/>
      <c r="H791" s="45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4.25" customHeight="1">
      <c r="A792" s="42"/>
      <c r="B792" s="42"/>
      <c r="C792" s="41"/>
      <c r="D792" s="41"/>
      <c r="E792" s="41"/>
      <c r="F792" s="43"/>
      <c r="G792" s="44"/>
      <c r="H792" s="45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4.25" customHeight="1">
      <c r="A793" s="42"/>
      <c r="B793" s="42"/>
      <c r="C793" s="41"/>
      <c r="D793" s="41"/>
      <c r="E793" s="41"/>
      <c r="F793" s="43"/>
      <c r="G793" s="44"/>
      <c r="H793" s="45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4.25" customHeight="1">
      <c r="A794" s="42"/>
      <c r="B794" s="42"/>
      <c r="C794" s="41"/>
      <c r="D794" s="41"/>
      <c r="E794" s="41"/>
      <c r="F794" s="43"/>
      <c r="G794" s="44"/>
      <c r="H794" s="45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4.25" customHeight="1">
      <c r="A795" s="42"/>
      <c r="B795" s="42"/>
      <c r="C795" s="41"/>
      <c r="D795" s="41"/>
      <c r="E795" s="41"/>
      <c r="F795" s="43"/>
      <c r="G795" s="44"/>
      <c r="H795" s="45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4.25" customHeight="1">
      <c r="A796" s="42"/>
      <c r="B796" s="42"/>
      <c r="C796" s="41"/>
      <c r="D796" s="41"/>
      <c r="E796" s="41"/>
      <c r="F796" s="43"/>
      <c r="G796" s="44"/>
      <c r="H796" s="45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4.25" customHeight="1">
      <c r="A797" s="42"/>
      <c r="B797" s="42"/>
      <c r="C797" s="41"/>
      <c r="D797" s="41"/>
      <c r="E797" s="41"/>
      <c r="F797" s="43"/>
      <c r="G797" s="44"/>
      <c r="H797" s="45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4.25" customHeight="1">
      <c r="A798" s="42"/>
      <c r="B798" s="42"/>
      <c r="C798" s="41"/>
      <c r="D798" s="41"/>
      <c r="E798" s="41"/>
      <c r="F798" s="43"/>
      <c r="G798" s="44"/>
      <c r="H798" s="45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4.25" customHeight="1">
      <c r="A799" s="42"/>
      <c r="B799" s="42"/>
      <c r="C799" s="41"/>
      <c r="D799" s="41"/>
      <c r="E799" s="41"/>
      <c r="F799" s="43"/>
      <c r="G799" s="44"/>
      <c r="H799" s="45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4.25" customHeight="1">
      <c r="A800" s="42"/>
      <c r="B800" s="42"/>
      <c r="C800" s="41"/>
      <c r="D800" s="41"/>
      <c r="E800" s="41"/>
      <c r="F800" s="43"/>
      <c r="G800" s="44"/>
      <c r="H800" s="45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4.25" customHeight="1">
      <c r="A801" s="42"/>
      <c r="B801" s="42"/>
      <c r="C801" s="41"/>
      <c r="D801" s="41"/>
      <c r="E801" s="41"/>
      <c r="F801" s="43"/>
      <c r="G801" s="44"/>
      <c r="H801" s="45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4.25" customHeight="1">
      <c r="A802" s="42"/>
      <c r="B802" s="42"/>
      <c r="C802" s="41"/>
      <c r="D802" s="41"/>
      <c r="E802" s="41"/>
      <c r="F802" s="43"/>
      <c r="G802" s="44"/>
      <c r="H802" s="45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4.25" customHeight="1">
      <c r="A803" s="42"/>
      <c r="B803" s="42"/>
      <c r="C803" s="41"/>
      <c r="D803" s="41"/>
      <c r="E803" s="41"/>
      <c r="F803" s="43"/>
      <c r="G803" s="44"/>
      <c r="H803" s="45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4.25" customHeight="1">
      <c r="A804" s="42"/>
      <c r="B804" s="42"/>
      <c r="C804" s="41"/>
      <c r="D804" s="41"/>
      <c r="E804" s="41"/>
      <c r="F804" s="43"/>
      <c r="G804" s="44"/>
      <c r="H804" s="45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4.25" customHeight="1">
      <c r="A805" s="42"/>
      <c r="B805" s="42"/>
      <c r="C805" s="41"/>
      <c r="D805" s="41"/>
      <c r="E805" s="41"/>
      <c r="F805" s="43"/>
      <c r="G805" s="44"/>
      <c r="H805" s="45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4.25" customHeight="1">
      <c r="A806" s="42"/>
      <c r="B806" s="42"/>
      <c r="C806" s="41"/>
      <c r="D806" s="41"/>
      <c r="E806" s="41"/>
      <c r="F806" s="43"/>
      <c r="G806" s="44"/>
      <c r="H806" s="45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4.25" customHeight="1">
      <c r="A807" s="42"/>
      <c r="B807" s="42"/>
      <c r="C807" s="41"/>
      <c r="D807" s="41"/>
      <c r="E807" s="41"/>
      <c r="F807" s="43"/>
      <c r="G807" s="44"/>
      <c r="H807" s="45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4.25" customHeight="1">
      <c r="A808" s="42"/>
      <c r="B808" s="42"/>
      <c r="C808" s="41"/>
      <c r="D808" s="41"/>
      <c r="E808" s="41"/>
      <c r="F808" s="43"/>
      <c r="G808" s="44"/>
      <c r="H808" s="45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4.25" customHeight="1">
      <c r="A809" s="42"/>
      <c r="B809" s="42"/>
      <c r="C809" s="41"/>
      <c r="D809" s="41"/>
      <c r="E809" s="41"/>
      <c r="F809" s="43"/>
      <c r="G809" s="44"/>
      <c r="H809" s="45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4.25" customHeight="1">
      <c r="A810" s="42"/>
      <c r="B810" s="42"/>
      <c r="C810" s="41"/>
      <c r="D810" s="41"/>
      <c r="E810" s="41"/>
      <c r="F810" s="43"/>
      <c r="G810" s="44"/>
      <c r="H810" s="45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4.25" customHeight="1">
      <c r="A811" s="42"/>
      <c r="B811" s="42"/>
      <c r="C811" s="41"/>
      <c r="D811" s="41"/>
      <c r="E811" s="41"/>
      <c r="F811" s="43"/>
      <c r="G811" s="44"/>
      <c r="H811" s="45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4.25" customHeight="1">
      <c r="A812" s="42"/>
      <c r="B812" s="42"/>
      <c r="C812" s="41"/>
      <c r="D812" s="41"/>
      <c r="E812" s="41"/>
      <c r="F812" s="43"/>
      <c r="G812" s="44"/>
      <c r="H812" s="45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4.25" customHeight="1">
      <c r="A813" s="42"/>
      <c r="B813" s="42"/>
      <c r="C813" s="41"/>
      <c r="D813" s="41"/>
      <c r="E813" s="41"/>
      <c r="F813" s="43"/>
      <c r="G813" s="44"/>
      <c r="H813" s="45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4.25" customHeight="1">
      <c r="A814" s="42"/>
      <c r="B814" s="42"/>
      <c r="C814" s="41"/>
      <c r="D814" s="41"/>
      <c r="E814" s="41"/>
      <c r="F814" s="43"/>
      <c r="G814" s="44"/>
      <c r="H814" s="45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4.25" customHeight="1">
      <c r="A815" s="42"/>
      <c r="B815" s="42"/>
      <c r="C815" s="41"/>
      <c r="D815" s="41"/>
      <c r="E815" s="41"/>
      <c r="F815" s="43"/>
      <c r="G815" s="44"/>
      <c r="H815" s="45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4.25" customHeight="1">
      <c r="A816" s="42"/>
      <c r="B816" s="42"/>
      <c r="C816" s="41"/>
      <c r="D816" s="41"/>
      <c r="E816" s="41"/>
      <c r="F816" s="43"/>
      <c r="G816" s="44"/>
      <c r="H816" s="45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4.25" customHeight="1">
      <c r="A817" s="42"/>
      <c r="B817" s="42"/>
      <c r="C817" s="41"/>
      <c r="D817" s="41"/>
      <c r="E817" s="41"/>
      <c r="F817" s="43"/>
      <c r="G817" s="44"/>
      <c r="H817" s="45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4.25" customHeight="1">
      <c r="A818" s="42"/>
      <c r="B818" s="42"/>
      <c r="C818" s="41"/>
      <c r="D818" s="41"/>
      <c r="E818" s="41"/>
      <c r="F818" s="43"/>
      <c r="G818" s="44"/>
      <c r="H818" s="45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4.25" customHeight="1">
      <c r="A819" s="42"/>
      <c r="B819" s="42"/>
      <c r="C819" s="41"/>
      <c r="D819" s="41"/>
      <c r="E819" s="41"/>
      <c r="F819" s="43"/>
      <c r="G819" s="44"/>
      <c r="H819" s="45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4.25" customHeight="1">
      <c r="A820" s="42"/>
      <c r="B820" s="42"/>
      <c r="C820" s="41"/>
      <c r="D820" s="41"/>
      <c r="E820" s="41"/>
      <c r="F820" s="43"/>
      <c r="G820" s="44"/>
      <c r="H820" s="45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4.25" customHeight="1">
      <c r="A821" s="42"/>
      <c r="B821" s="42"/>
      <c r="C821" s="41"/>
      <c r="D821" s="41"/>
      <c r="E821" s="41"/>
      <c r="F821" s="43"/>
      <c r="G821" s="44"/>
      <c r="H821" s="45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4.25" customHeight="1">
      <c r="A822" s="42"/>
      <c r="B822" s="42"/>
      <c r="C822" s="41"/>
      <c r="D822" s="41"/>
      <c r="E822" s="41"/>
      <c r="F822" s="43"/>
      <c r="G822" s="44"/>
      <c r="H822" s="45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4.25" customHeight="1">
      <c r="A823" s="42"/>
      <c r="B823" s="42"/>
      <c r="C823" s="41"/>
      <c r="D823" s="41"/>
      <c r="E823" s="41"/>
      <c r="F823" s="43"/>
      <c r="G823" s="44"/>
      <c r="H823" s="45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4.25" customHeight="1">
      <c r="A824" s="42"/>
      <c r="B824" s="42"/>
      <c r="C824" s="41"/>
      <c r="D824" s="41"/>
      <c r="E824" s="41"/>
      <c r="F824" s="43"/>
      <c r="G824" s="44"/>
      <c r="H824" s="45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4.25" customHeight="1">
      <c r="A825" s="42"/>
      <c r="B825" s="42"/>
      <c r="C825" s="41"/>
      <c r="D825" s="41"/>
      <c r="E825" s="41"/>
      <c r="F825" s="43"/>
      <c r="G825" s="44"/>
      <c r="H825" s="45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4.25" customHeight="1">
      <c r="A826" s="42"/>
      <c r="B826" s="42"/>
      <c r="C826" s="41"/>
      <c r="D826" s="41"/>
      <c r="E826" s="41"/>
      <c r="F826" s="43"/>
      <c r="G826" s="44"/>
      <c r="H826" s="45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4.25" customHeight="1">
      <c r="A827" s="42"/>
      <c r="B827" s="42"/>
      <c r="C827" s="41"/>
      <c r="D827" s="41"/>
      <c r="E827" s="41"/>
      <c r="F827" s="43"/>
      <c r="G827" s="44"/>
      <c r="H827" s="45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4.25" customHeight="1">
      <c r="A828" s="42"/>
      <c r="B828" s="42"/>
      <c r="C828" s="41"/>
      <c r="D828" s="41"/>
      <c r="E828" s="41"/>
      <c r="F828" s="43"/>
      <c r="G828" s="44"/>
      <c r="H828" s="45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4.25" customHeight="1">
      <c r="A829" s="42"/>
      <c r="B829" s="42"/>
      <c r="C829" s="41"/>
      <c r="D829" s="41"/>
      <c r="E829" s="41"/>
      <c r="F829" s="43"/>
      <c r="G829" s="44"/>
      <c r="H829" s="45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4.25" customHeight="1">
      <c r="A830" s="42"/>
      <c r="B830" s="42"/>
      <c r="C830" s="41"/>
      <c r="D830" s="41"/>
      <c r="E830" s="41"/>
      <c r="F830" s="43"/>
      <c r="G830" s="44"/>
      <c r="H830" s="45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4.25" customHeight="1">
      <c r="A831" s="42"/>
      <c r="B831" s="42"/>
      <c r="C831" s="41"/>
      <c r="D831" s="41"/>
      <c r="E831" s="41"/>
      <c r="F831" s="43"/>
      <c r="G831" s="44"/>
      <c r="H831" s="45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4.25" customHeight="1">
      <c r="A832" s="42"/>
      <c r="B832" s="42"/>
      <c r="C832" s="41"/>
      <c r="D832" s="41"/>
      <c r="E832" s="41"/>
      <c r="F832" s="43"/>
      <c r="G832" s="44"/>
      <c r="H832" s="45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4.25" customHeight="1">
      <c r="A833" s="42"/>
      <c r="B833" s="42"/>
      <c r="C833" s="41"/>
      <c r="D833" s="41"/>
      <c r="E833" s="41"/>
      <c r="F833" s="43"/>
      <c r="G833" s="44"/>
      <c r="H833" s="45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4.25" customHeight="1">
      <c r="A834" s="42"/>
      <c r="B834" s="42"/>
      <c r="C834" s="41"/>
      <c r="D834" s="41"/>
      <c r="E834" s="41"/>
      <c r="F834" s="43"/>
      <c r="G834" s="44"/>
      <c r="H834" s="45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4.25" customHeight="1">
      <c r="A835" s="42"/>
      <c r="B835" s="42"/>
      <c r="C835" s="41"/>
      <c r="D835" s="41"/>
      <c r="E835" s="41"/>
      <c r="F835" s="43"/>
      <c r="G835" s="44"/>
      <c r="H835" s="45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4.25" customHeight="1">
      <c r="A836" s="42"/>
      <c r="B836" s="42"/>
      <c r="C836" s="41"/>
      <c r="D836" s="41"/>
      <c r="E836" s="41"/>
      <c r="F836" s="43"/>
      <c r="G836" s="44"/>
      <c r="H836" s="45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4.25" customHeight="1">
      <c r="A837" s="42"/>
      <c r="B837" s="42"/>
      <c r="C837" s="41"/>
      <c r="D837" s="41"/>
      <c r="E837" s="41"/>
      <c r="F837" s="43"/>
      <c r="G837" s="44"/>
      <c r="H837" s="45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4.25" customHeight="1">
      <c r="A838" s="42"/>
      <c r="B838" s="42"/>
      <c r="C838" s="41"/>
      <c r="D838" s="41"/>
      <c r="E838" s="41"/>
      <c r="F838" s="43"/>
      <c r="G838" s="44"/>
      <c r="H838" s="45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4.25" customHeight="1">
      <c r="A839" s="42"/>
      <c r="B839" s="42"/>
      <c r="C839" s="41"/>
      <c r="D839" s="41"/>
      <c r="E839" s="41"/>
      <c r="F839" s="43"/>
      <c r="G839" s="44"/>
      <c r="H839" s="45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4.25" customHeight="1">
      <c r="A840" s="42"/>
      <c r="B840" s="42"/>
      <c r="C840" s="41"/>
      <c r="D840" s="41"/>
      <c r="E840" s="41"/>
      <c r="F840" s="43"/>
      <c r="G840" s="44"/>
      <c r="H840" s="45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4.25" customHeight="1">
      <c r="A841" s="42"/>
      <c r="B841" s="42"/>
      <c r="C841" s="41"/>
      <c r="D841" s="41"/>
      <c r="E841" s="41"/>
      <c r="F841" s="43"/>
      <c r="G841" s="44"/>
      <c r="H841" s="45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4.25" customHeight="1">
      <c r="A842" s="42"/>
      <c r="B842" s="42"/>
      <c r="C842" s="41"/>
      <c r="D842" s="41"/>
      <c r="E842" s="41"/>
      <c r="F842" s="43"/>
      <c r="G842" s="44"/>
      <c r="H842" s="45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4.25" customHeight="1">
      <c r="A843" s="42"/>
      <c r="B843" s="42"/>
      <c r="C843" s="41"/>
      <c r="D843" s="41"/>
      <c r="E843" s="41"/>
      <c r="F843" s="43"/>
      <c r="G843" s="44"/>
      <c r="H843" s="45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4.25" customHeight="1">
      <c r="A844" s="42"/>
      <c r="B844" s="42"/>
      <c r="C844" s="41"/>
      <c r="D844" s="41"/>
      <c r="E844" s="41"/>
      <c r="F844" s="43"/>
      <c r="G844" s="44"/>
      <c r="H844" s="45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4.25" customHeight="1">
      <c r="A845" s="42"/>
      <c r="B845" s="42"/>
      <c r="C845" s="41"/>
      <c r="D845" s="41"/>
      <c r="E845" s="41"/>
      <c r="F845" s="43"/>
      <c r="G845" s="44"/>
      <c r="H845" s="45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4.25" customHeight="1">
      <c r="A846" s="42"/>
      <c r="B846" s="42"/>
      <c r="C846" s="41"/>
      <c r="D846" s="41"/>
      <c r="E846" s="41"/>
      <c r="F846" s="43"/>
      <c r="G846" s="44"/>
      <c r="H846" s="45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4.25" customHeight="1">
      <c r="A847" s="42"/>
      <c r="B847" s="42"/>
      <c r="C847" s="41"/>
      <c r="D847" s="41"/>
      <c r="E847" s="41"/>
      <c r="F847" s="43"/>
      <c r="G847" s="44"/>
      <c r="H847" s="45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4.25" customHeight="1">
      <c r="A848" s="42"/>
      <c r="B848" s="42"/>
      <c r="C848" s="41"/>
      <c r="D848" s="41"/>
      <c r="E848" s="41"/>
      <c r="F848" s="43"/>
      <c r="G848" s="44"/>
      <c r="H848" s="45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4.25" customHeight="1">
      <c r="A849" s="42"/>
      <c r="B849" s="42"/>
      <c r="C849" s="41"/>
      <c r="D849" s="41"/>
      <c r="E849" s="41"/>
      <c r="F849" s="43"/>
      <c r="G849" s="44"/>
      <c r="H849" s="45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4.25" customHeight="1">
      <c r="A850" s="42"/>
      <c r="B850" s="42"/>
      <c r="C850" s="41"/>
      <c r="D850" s="41"/>
      <c r="E850" s="41"/>
      <c r="F850" s="43"/>
      <c r="G850" s="44"/>
      <c r="H850" s="45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4.25" customHeight="1">
      <c r="A851" s="42"/>
      <c r="B851" s="42"/>
      <c r="C851" s="41"/>
      <c r="D851" s="41"/>
      <c r="E851" s="41"/>
      <c r="F851" s="43"/>
      <c r="G851" s="44"/>
      <c r="H851" s="45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4.25" customHeight="1">
      <c r="A852" s="42"/>
      <c r="B852" s="42"/>
      <c r="C852" s="41"/>
      <c r="D852" s="41"/>
      <c r="E852" s="41"/>
      <c r="F852" s="43"/>
      <c r="G852" s="44"/>
      <c r="H852" s="45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4.25" customHeight="1">
      <c r="A853" s="42"/>
      <c r="B853" s="42"/>
      <c r="C853" s="41"/>
      <c r="D853" s="41"/>
      <c r="E853" s="41"/>
      <c r="F853" s="43"/>
      <c r="G853" s="44"/>
      <c r="H853" s="45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4.25" customHeight="1">
      <c r="A854" s="42"/>
      <c r="B854" s="42"/>
      <c r="C854" s="41"/>
      <c r="D854" s="41"/>
      <c r="E854" s="41"/>
      <c r="F854" s="43"/>
      <c r="G854" s="44"/>
      <c r="H854" s="45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4.25" customHeight="1">
      <c r="A855" s="42"/>
      <c r="B855" s="42"/>
      <c r="C855" s="41"/>
      <c r="D855" s="41"/>
      <c r="E855" s="41"/>
      <c r="F855" s="43"/>
      <c r="G855" s="44"/>
      <c r="H855" s="45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4.25" customHeight="1">
      <c r="A856" s="42"/>
      <c r="B856" s="42"/>
      <c r="C856" s="41"/>
      <c r="D856" s="41"/>
      <c r="E856" s="41"/>
      <c r="F856" s="43"/>
      <c r="G856" s="44"/>
      <c r="H856" s="45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4.25" customHeight="1">
      <c r="A857" s="42"/>
      <c r="B857" s="42"/>
      <c r="C857" s="41"/>
      <c r="D857" s="41"/>
      <c r="E857" s="41"/>
      <c r="F857" s="43"/>
      <c r="G857" s="44"/>
      <c r="H857" s="45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4.25" customHeight="1">
      <c r="A858" s="42"/>
      <c r="B858" s="42"/>
      <c r="C858" s="41"/>
      <c r="D858" s="41"/>
      <c r="E858" s="41"/>
      <c r="F858" s="43"/>
      <c r="G858" s="44"/>
      <c r="H858" s="45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4.25" customHeight="1">
      <c r="A859" s="42"/>
      <c r="B859" s="42"/>
      <c r="C859" s="41"/>
      <c r="D859" s="41"/>
      <c r="E859" s="41"/>
      <c r="F859" s="43"/>
      <c r="G859" s="44"/>
      <c r="H859" s="45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4.25" customHeight="1">
      <c r="A860" s="42"/>
      <c r="B860" s="42"/>
      <c r="C860" s="41"/>
      <c r="D860" s="41"/>
      <c r="E860" s="41"/>
      <c r="F860" s="43"/>
      <c r="G860" s="44"/>
      <c r="H860" s="45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4.25" customHeight="1">
      <c r="A861" s="42"/>
      <c r="B861" s="42"/>
      <c r="C861" s="41"/>
      <c r="D861" s="41"/>
      <c r="E861" s="41"/>
      <c r="F861" s="43"/>
      <c r="G861" s="44"/>
      <c r="H861" s="45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4.25" customHeight="1">
      <c r="A862" s="42"/>
      <c r="B862" s="42"/>
      <c r="C862" s="41"/>
      <c r="D862" s="41"/>
      <c r="E862" s="41"/>
      <c r="F862" s="43"/>
      <c r="G862" s="44"/>
      <c r="H862" s="45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4.25" customHeight="1">
      <c r="A863" s="42"/>
      <c r="B863" s="42"/>
      <c r="C863" s="41"/>
      <c r="D863" s="41"/>
      <c r="E863" s="41"/>
      <c r="F863" s="43"/>
      <c r="G863" s="44"/>
      <c r="H863" s="45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4.25" customHeight="1">
      <c r="A864" s="42"/>
      <c r="B864" s="42"/>
      <c r="C864" s="41"/>
      <c r="D864" s="41"/>
      <c r="E864" s="41"/>
      <c r="F864" s="43"/>
      <c r="G864" s="44"/>
      <c r="H864" s="45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4.25" customHeight="1">
      <c r="A865" s="42"/>
      <c r="B865" s="42"/>
      <c r="C865" s="41"/>
      <c r="D865" s="41"/>
      <c r="E865" s="41"/>
      <c r="F865" s="43"/>
      <c r="G865" s="44"/>
      <c r="H865" s="45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4.25" customHeight="1">
      <c r="A866" s="42"/>
      <c r="B866" s="42"/>
      <c r="C866" s="41"/>
      <c r="D866" s="41"/>
      <c r="E866" s="41"/>
      <c r="F866" s="43"/>
      <c r="G866" s="44"/>
      <c r="H866" s="45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4.25" customHeight="1">
      <c r="A867" s="42"/>
      <c r="B867" s="42"/>
      <c r="C867" s="41"/>
      <c r="D867" s="41"/>
      <c r="E867" s="41"/>
      <c r="F867" s="43"/>
      <c r="G867" s="44"/>
      <c r="H867" s="45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4.25" customHeight="1">
      <c r="A868" s="42"/>
      <c r="B868" s="42"/>
      <c r="C868" s="41"/>
      <c r="D868" s="41"/>
      <c r="E868" s="41"/>
      <c r="F868" s="43"/>
      <c r="G868" s="44"/>
      <c r="H868" s="45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4.25" customHeight="1">
      <c r="A869" s="42"/>
      <c r="B869" s="42"/>
      <c r="C869" s="41"/>
      <c r="D869" s="41"/>
      <c r="E869" s="41"/>
      <c r="F869" s="43"/>
      <c r="G869" s="44"/>
      <c r="H869" s="45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4.25" customHeight="1">
      <c r="A870" s="42"/>
      <c r="B870" s="42"/>
      <c r="C870" s="41"/>
      <c r="D870" s="41"/>
      <c r="E870" s="41"/>
      <c r="F870" s="43"/>
      <c r="G870" s="44"/>
      <c r="H870" s="45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4.25" customHeight="1">
      <c r="A871" s="42"/>
      <c r="B871" s="42"/>
      <c r="C871" s="41"/>
      <c r="D871" s="41"/>
      <c r="E871" s="41"/>
      <c r="F871" s="43"/>
      <c r="G871" s="44"/>
      <c r="H871" s="45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4.25" customHeight="1">
      <c r="A872" s="42"/>
      <c r="B872" s="42"/>
      <c r="C872" s="41"/>
      <c r="D872" s="41"/>
      <c r="E872" s="41"/>
      <c r="F872" s="43"/>
      <c r="G872" s="44"/>
      <c r="H872" s="45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4.25" customHeight="1">
      <c r="A873" s="42"/>
      <c r="B873" s="42"/>
      <c r="C873" s="41"/>
      <c r="D873" s="41"/>
      <c r="E873" s="41"/>
      <c r="F873" s="43"/>
      <c r="G873" s="44"/>
      <c r="H873" s="45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4.25" customHeight="1">
      <c r="A874" s="42"/>
      <c r="B874" s="42"/>
      <c r="C874" s="41"/>
      <c r="D874" s="41"/>
      <c r="E874" s="41"/>
      <c r="F874" s="43"/>
      <c r="G874" s="44"/>
      <c r="H874" s="45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4.25" customHeight="1">
      <c r="A875" s="42"/>
      <c r="B875" s="42"/>
      <c r="C875" s="41"/>
      <c r="D875" s="41"/>
      <c r="E875" s="41"/>
      <c r="F875" s="43"/>
      <c r="G875" s="44"/>
      <c r="H875" s="45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4.25" customHeight="1">
      <c r="A876" s="42"/>
      <c r="B876" s="42"/>
      <c r="C876" s="41"/>
      <c r="D876" s="41"/>
      <c r="E876" s="41"/>
      <c r="F876" s="43"/>
      <c r="G876" s="44"/>
      <c r="H876" s="45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4.25" customHeight="1">
      <c r="A877" s="42"/>
      <c r="B877" s="42"/>
      <c r="C877" s="41"/>
      <c r="D877" s="41"/>
      <c r="E877" s="41"/>
      <c r="F877" s="43"/>
      <c r="G877" s="44"/>
      <c r="H877" s="45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4.25" customHeight="1">
      <c r="A878" s="42"/>
      <c r="B878" s="42"/>
      <c r="C878" s="41"/>
      <c r="D878" s="41"/>
      <c r="E878" s="41"/>
      <c r="F878" s="43"/>
      <c r="G878" s="44"/>
      <c r="H878" s="45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4.25" customHeight="1">
      <c r="A879" s="42"/>
      <c r="B879" s="42"/>
      <c r="C879" s="41"/>
      <c r="D879" s="41"/>
      <c r="E879" s="41"/>
      <c r="F879" s="43"/>
      <c r="G879" s="44"/>
      <c r="H879" s="45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4.25" customHeight="1">
      <c r="A880" s="42"/>
      <c r="B880" s="42"/>
      <c r="C880" s="41"/>
      <c r="D880" s="41"/>
      <c r="E880" s="41"/>
      <c r="F880" s="43"/>
      <c r="G880" s="44"/>
      <c r="H880" s="45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4.25" customHeight="1">
      <c r="A881" s="42"/>
      <c r="B881" s="42"/>
      <c r="C881" s="41"/>
      <c r="D881" s="41"/>
      <c r="E881" s="41"/>
      <c r="F881" s="43"/>
      <c r="G881" s="44"/>
      <c r="H881" s="45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4.25" customHeight="1">
      <c r="A882" s="42"/>
      <c r="B882" s="42"/>
      <c r="C882" s="41"/>
      <c r="D882" s="41"/>
      <c r="E882" s="41"/>
      <c r="F882" s="43"/>
      <c r="G882" s="44"/>
      <c r="H882" s="45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4.25" customHeight="1">
      <c r="A883" s="42"/>
      <c r="B883" s="42"/>
      <c r="C883" s="41"/>
      <c r="D883" s="41"/>
      <c r="E883" s="41"/>
      <c r="F883" s="43"/>
      <c r="G883" s="44"/>
      <c r="H883" s="45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4.25" customHeight="1">
      <c r="A884" s="42"/>
      <c r="B884" s="42"/>
      <c r="C884" s="41"/>
      <c r="D884" s="41"/>
      <c r="E884" s="41"/>
      <c r="F884" s="43"/>
      <c r="G884" s="44"/>
      <c r="H884" s="45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4.25" customHeight="1">
      <c r="A885" s="42"/>
      <c r="B885" s="42"/>
      <c r="C885" s="41"/>
      <c r="D885" s="41"/>
      <c r="E885" s="41"/>
      <c r="F885" s="43"/>
      <c r="G885" s="44"/>
      <c r="H885" s="45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4.25" customHeight="1">
      <c r="A886" s="42"/>
      <c r="B886" s="42"/>
      <c r="C886" s="41"/>
      <c r="D886" s="41"/>
      <c r="E886" s="41"/>
      <c r="F886" s="43"/>
      <c r="G886" s="44"/>
      <c r="H886" s="45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4.25" customHeight="1">
      <c r="A887" s="42"/>
      <c r="B887" s="42"/>
      <c r="C887" s="41"/>
      <c r="D887" s="41"/>
      <c r="E887" s="41"/>
      <c r="F887" s="43"/>
      <c r="G887" s="44"/>
      <c r="H887" s="45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4.25" customHeight="1">
      <c r="A888" s="42"/>
      <c r="B888" s="42"/>
      <c r="C888" s="41"/>
      <c r="D888" s="41"/>
      <c r="E888" s="41"/>
      <c r="F888" s="43"/>
      <c r="G888" s="44"/>
      <c r="H888" s="45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4.25" customHeight="1">
      <c r="A889" s="42"/>
      <c r="B889" s="42"/>
      <c r="C889" s="41"/>
      <c r="D889" s="41"/>
      <c r="E889" s="41"/>
      <c r="F889" s="43"/>
      <c r="G889" s="44"/>
      <c r="H889" s="45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4.25" customHeight="1">
      <c r="A890" s="42"/>
      <c r="B890" s="42"/>
      <c r="C890" s="41"/>
      <c r="D890" s="41"/>
      <c r="E890" s="41"/>
      <c r="F890" s="43"/>
      <c r="G890" s="44"/>
      <c r="H890" s="45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4.25" customHeight="1">
      <c r="A891" s="42"/>
      <c r="B891" s="42"/>
      <c r="C891" s="41"/>
      <c r="D891" s="41"/>
      <c r="E891" s="41"/>
      <c r="F891" s="43"/>
      <c r="G891" s="44"/>
      <c r="H891" s="45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4.25" customHeight="1">
      <c r="A892" s="42"/>
      <c r="B892" s="42"/>
      <c r="C892" s="41"/>
      <c r="D892" s="41"/>
      <c r="E892" s="41"/>
      <c r="F892" s="43"/>
      <c r="G892" s="44"/>
      <c r="H892" s="45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4.25" customHeight="1">
      <c r="A893" s="42"/>
      <c r="B893" s="42"/>
      <c r="C893" s="41"/>
      <c r="D893" s="41"/>
      <c r="E893" s="41"/>
      <c r="F893" s="43"/>
      <c r="G893" s="44"/>
      <c r="H893" s="45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4.25" customHeight="1">
      <c r="A894" s="42"/>
      <c r="B894" s="42"/>
      <c r="C894" s="41"/>
      <c r="D894" s="41"/>
      <c r="E894" s="41"/>
      <c r="F894" s="43"/>
      <c r="G894" s="44"/>
      <c r="H894" s="45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4.25" customHeight="1">
      <c r="A895" s="42"/>
      <c r="B895" s="42"/>
      <c r="C895" s="41"/>
      <c r="D895" s="41"/>
      <c r="E895" s="41"/>
      <c r="F895" s="43"/>
      <c r="G895" s="44"/>
      <c r="H895" s="45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4.25" customHeight="1">
      <c r="A896" s="42"/>
      <c r="B896" s="42"/>
      <c r="C896" s="41"/>
      <c r="D896" s="41"/>
      <c r="E896" s="41"/>
      <c r="F896" s="43"/>
      <c r="G896" s="44"/>
      <c r="H896" s="45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4.25" customHeight="1">
      <c r="A897" s="42"/>
      <c r="B897" s="42"/>
      <c r="C897" s="41"/>
      <c r="D897" s="41"/>
      <c r="E897" s="41"/>
      <c r="F897" s="43"/>
      <c r="G897" s="44"/>
      <c r="H897" s="45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4.25" customHeight="1">
      <c r="A898" s="42"/>
      <c r="B898" s="42"/>
      <c r="C898" s="41"/>
      <c r="D898" s="41"/>
      <c r="E898" s="41"/>
      <c r="F898" s="43"/>
      <c r="G898" s="44"/>
      <c r="H898" s="45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4.25" customHeight="1">
      <c r="A899" s="42"/>
      <c r="B899" s="42"/>
      <c r="C899" s="41"/>
      <c r="D899" s="41"/>
      <c r="E899" s="41"/>
      <c r="F899" s="43"/>
      <c r="G899" s="44"/>
      <c r="H899" s="45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4.25" customHeight="1">
      <c r="A900" s="42"/>
      <c r="B900" s="42"/>
      <c r="C900" s="41"/>
      <c r="D900" s="41"/>
      <c r="E900" s="41"/>
      <c r="F900" s="43"/>
      <c r="G900" s="44"/>
      <c r="H900" s="45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4.25" customHeight="1">
      <c r="A901" s="42"/>
      <c r="B901" s="42"/>
      <c r="C901" s="41"/>
      <c r="D901" s="41"/>
      <c r="E901" s="41"/>
      <c r="F901" s="43"/>
      <c r="G901" s="44"/>
      <c r="H901" s="45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4.25" customHeight="1">
      <c r="A902" s="42"/>
      <c r="B902" s="42"/>
      <c r="C902" s="41"/>
      <c r="D902" s="41"/>
      <c r="E902" s="41"/>
      <c r="F902" s="43"/>
      <c r="G902" s="44"/>
      <c r="H902" s="45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4.25" customHeight="1">
      <c r="A903" s="42"/>
      <c r="B903" s="42"/>
      <c r="C903" s="41"/>
      <c r="D903" s="41"/>
      <c r="E903" s="41"/>
      <c r="F903" s="43"/>
      <c r="G903" s="44"/>
      <c r="H903" s="45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4.25" customHeight="1">
      <c r="A904" s="42"/>
      <c r="B904" s="42"/>
      <c r="C904" s="41"/>
      <c r="D904" s="41"/>
      <c r="E904" s="41"/>
      <c r="F904" s="43"/>
      <c r="G904" s="44"/>
      <c r="H904" s="45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4.25" customHeight="1">
      <c r="A905" s="42"/>
      <c r="B905" s="42"/>
      <c r="C905" s="41"/>
      <c r="D905" s="41"/>
      <c r="E905" s="41"/>
      <c r="F905" s="43"/>
      <c r="G905" s="44"/>
      <c r="H905" s="45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4.25" customHeight="1">
      <c r="A906" s="42"/>
      <c r="B906" s="42"/>
      <c r="C906" s="41"/>
      <c r="D906" s="41"/>
      <c r="E906" s="41"/>
      <c r="F906" s="43"/>
      <c r="G906" s="44"/>
      <c r="H906" s="45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4.25" customHeight="1">
      <c r="A907" s="42"/>
      <c r="B907" s="42"/>
      <c r="C907" s="41"/>
      <c r="D907" s="41"/>
      <c r="E907" s="41"/>
      <c r="F907" s="43"/>
      <c r="G907" s="44"/>
      <c r="H907" s="45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4.25" customHeight="1">
      <c r="A908" s="42"/>
      <c r="B908" s="42"/>
      <c r="C908" s="41"/>
      <c r="D908" s="41"/>
      <c r="E908" s="41"/>
      <c r="F908" s="43"/>
      <c r="G908" s="44"/>
      <c r="H908" s="45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4.25" customHeight="1">
      <c r="A909" s="42"/>
      <c r="B909" s="42"/>
      <c r="C909" s="41"/>
      <c r="D909" s="41"/>
      <c r="E909" s="41"/>
      <c r="F909" s="43"/>
      <c r="G909" s="44"/>
      <c r="H909" s="45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4.25" customHeight="1">
      <c r="A910" s="42"/>
      <c r="B910" s="42"/>
      <c r="C910" s="41"/>
      <c r="D910" s="41"/>
      <c r="E910" s="41"/>
      <c r="F910" s="43"/>
      <c r="G910" s="44"/>
      <c r="H910" s="45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4.25" customHeight="1">
      <c r="A911" s="42"/>
      <c r="B911" s="42"/>
      <c r="C911" s="41"/>
      <c r="D911" s="41"/>
      <c r="E911" s="41"/>
      <c r="F911" s="43"/>
      <c r="G911" s="44"/>
      <c r="H911" s="45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4.25" customHeight="1">
      <c r="A912" s="42"/>
      <c r="B912" s="42"/>
      <c r="C912" s="41"/>
      <c r="D912" s="41"/>
      <c r="E912" s="41"/>
      <c r="F912" s="43"/>
      <c r="G912" s="44"/>
      <c r="H912" s="45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4.25" customHeight="1">
      <c r="A913" s="42"/>
      <c r="B913" s="42"/>
      <c r="C913" s="41"/>
      <c r="D913" s="41"/>
      <c r="E913" s="41"/>
      <c r="F913" s="43"/>
      <c r="G913" s="44"/>
      <c r="H913" s="45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4.25" customHeight="1">
      <c r="A914" s="42"/>
      <c r="B914" s="42"/>
      <c r="C914" s="41"/>
      <c r="D914" s="41"/>
      <c r="E914" s="41"/>
      <c r="F914" s="43"/>
      <c r="G914" s="44"/>
      <c r="H914" s="45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4.25" customHeight="1">
      <c r="A915" s="42"/>
      <c r="B915" s="42"/>
      <c r="C915" s="41"/>
      <c r="D915" s="41"/>
      <c r="E915" s="41"/>
      <c r="F915" s="43"/>
      <c r="G915" s="44"/>
      <c r="H915" s="45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4.25" customHeight="1">
      <c r="A916" s="42"/>
      <c r="B916" s="42"/>
      <c r="C916" s="41"/>
      <c r="D916" s="41"/>
      <c r="E916" s="41"/>
      <c r="F916" s="43"/>
      <c r="G916" s="44"/>
      <c r="H916" s="45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4.25" customHeight="1">
      <c r="A917" s="42"/>
      <c r="B917" s="42"/>
      <c r="C917" s="41"/>
      <c r="D917" s="41"/>
      <c r="E917" s="41"/>
      <c r="F917" s="43"/>
      <c r="G917" s="44"/>
      <c r="H917" s="45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4.25" customHeight="1">
      <c r="A918" s="42"/>
      <c r="B918" s="42"/>
      <c r="C918" s="41"/>
      <c r="D918" s="41"/>
      <c r="E918" s="41"/>
      <c r="F918" s="43"/>
      <c r="G918" s="44"/>
      <c r="H918" s="45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4.25" customHeight="1">
      <c r="A919" s="42"/>
      <c r="B919" s="42"/>
      <c r="C919" s="41"/>
      <c r="D919" s="41"/>
      <c r="E919" s="41"/>
      <c r="F919" s="43"/>
      <c r="G919" s="44"/>
      <c r="H919" s="45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4.25" customHeight="1">
      <c r="A920" s="42"/>
      <c r="B920" s="42"/>
      <c r="C920" s="41"/>
      <c r="D920" s="41"/>
      <c r="E920" s="41"/>
      <c r="F920" s="43"/>
      <c r="G920" s="44"/>
      <c r="H920" s="45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4.25" customHeight="1">
      <c r="A921" s="42"/>
      <c r="B921" s="42"/>
      <c r="C921" s="41"/>
      <c r="D921" s="41"/>
      <c r="E921" s="41"/>
      <c r="F921" s="43"/>
      <c r="G921" s="44"/>
      <c r="H921" s="45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4.25" customHeight="1">
      <c r="A922" s="42"/>
      <c r="B922" s="42"/>
      <c r="C922" s="41"/>
      <c r="D922" s="41"/>
      <c r="E922" s="41"/>
      <c r="F922" s="43"/>
      <c r="G922" s="44"/>
      <c r="H922" s="45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4.25" customHeight="1">
      <c r="A923" s="42"/>
      <c r="B923" s="42"/>
      <c r="C923" s="41"/>
      <c r="D923" s="41"/>
      <c r="E923" s="41"/>
      <c r="F923" s="43"/>
      <c r="G923" s="44"/>
      <c r="H923" s="45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4.25" customHeight="1">
      <c r="A924" s="42"/>
      <c r="B924" s="42"/>
      <c r="C924" s="41"/>
      <c r="D924" s="41"/>
      <c r="E924" s="41"/>
      <c r="F924" s="43"/>
      <c r="G924" s="44"/>
      <c r="H924" s="45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4.25" customHeight="1">
      <c r="A925" s="42"/>
      <c r="B925" s="42"/>
      <c r="C925" s="41"/>
      <c r="D925" s="41"/>
      <c r="E925" s="41"/>
      <c r="F925" s="43"/>
      <c r="G925" s="44"/>
      <c r="H925" s="45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4.25" customHeight="1">
      <c r="A926" s="42"/>
      <c r="B926" s="42"/>
      <c r="C926" s="41"/>
      <c r="D926" s="41"/>
      <c r="E926" s="41"/>
      <c r="F926" s="43"/>
      <c r="G926" s="44"/>
      <c r="H926" s="45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4.25" customHeight="1">
      <c r="A927" s="42"/>
      <c r="B927" s="42"/>
      <c r="C927" s="41"/>
      <c r="D927" s="41"/>
      <c r="E927" s="41"/>
      <c r="F927" s="43"/>
      <c r="G927" s="44"/>
      <c r="H927" s="45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4.25" customHeight="1">
      <c r="A928" s="42"/>
      <c r="B928" s="42"/>
      <c r="C928" s="41"/>
      <c r="D928" s="41"/>
      <c r="E928" s="41"/>
      <c r="F928" s="43"/>
      <c r="G928" s="44"/>
      <c r="H928" s="45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4.25" customHeight="1">
      <c r="A929" s="42"/>
      <c r="B929" s="42"/>
      <c r="C929" s="41"/>
      <c r="D929" s="41"/>
      <c r="E929" s="41"/>
      <c r="F929" s="43"/>
      <c r="G929" s="44"/>
      <c r="H929" s="45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4.25" customHeight="1">
      <c r="A930" s="42"/>
      <c r="B930" s="42"/>
      <c r="C930" s="41"/>
      <c r="D930" s="41"/>
      <c r="E930" s="41"/>
      <c r="F930" s="43"/>
      <c r="G930" s="44"/>
      <c r="H930" s="45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4.25" customHeight="1">
      <c r="A931" s="42"/>
      <c r="B931" s="42"/>
      <c r="C931" s="41"/>
      <c r="D931" s="41"/>
      <c r="E931" s="41"/>
      <c r="F931" s="43"/>
      <c r="G931" s="44"/>
      <c r="H931" s="45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4.25" customHeight="1">
      <c r="A932" s="42"/>
      <c r="B932" s="42"/>
      <c r="C932" s="41"/>
      <c r="D932" s="41"/>
      <c r="E932" s="41"/>
      <c r="F932" s="43"/>
      <c r="G932" s="44"/>
      <c r="H932" s="45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4.25" customHeight="1">
      <c r="A933" s="42"/>
      <c r="B933" s="42"/>
      <c r="C933" s="41"/>
      <c r="D933" s="41"/>
      <c r="E933" s="41"/>
      <c r="F933" s="43"/>
      <c r="G933" s="44"/>
      <c r="H933" s="45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4.25" customHeight="1">
      <c r="A934" s="42"/>
      <c r="B934" s="42"/>
      <c r="C934" s="41"/>
      <c r="D934" s="41"/>
      <c r="E934" s="41"/>
      <c r="F934" s="43"/>
      <c r="G934" s="44"/>
      <c r="H934" s="45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4.25" customHeight="1">
      <c r="A935" s="42"/>
      <c r="B935" s="42"/>
      <c r="C935" s="41"/>
      <c r="D935" s="41"/>
      <c r="E935" s="41"/>
      <c r="F935" s="43"/>
      <c r="G935" s="44"/>
      <c r="H935" s="45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4.25" customHeight="1">
      <c r="A936" s="42"/>
      <c r="B936" s="42"/>
      <c r="C936" s="41"/>
      <c r="D936" s="41"/>
      <c r="E936" s="41"/>
      <c r="F936" s="43"/>
      <c r="G936" s="44"/>
      <c r="H936" s="45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4.25" customHeight="1">
      <c r="A937" s="42"/>
      <c r="B937" s="42"/>
      <c r="C937" s="41"/>
      <c r="D937" s="41"/>
      <c r="E937" s="41"/>
      <c r="F937" s="43"/>
      <c r="G937" s="44"/>
      <c r="H937" s="45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4.25" customHeight="1">
      <c r="A938" s="42"/>
      <c r="B938" s="42"/>
      <c r="C938" s="41"/>
      <c r="D938" s="41"/>
      <c r="E938" s="41"/>
      <c r="F938" s="43"/>
      <c r="G938" s="44"/>
      <c r="H938" s="45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4.25" customHeight="1">
      <c r="A939" s="42"/>
      <c r="B939" s="42"/>
      <c r="C939" s="41"/>
      <c r="D939" s="41"/>
      <c r="E939" s="41"/>
      <c r="F939" s="43"/>
      <c r="G939" s="44"/>
      <c r="H939" s="45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4.25" customHeight="1">
      <c r="A940" s="42"/>
      <c r="B940" s="42"/>
      <c r="C940" s="41"/>
      <c r="D940" s="41"/>
      <c r="E940" s="41"/>
      <c r="F940" s="43"/>
      <c r="G940" s="44"/>
      <c r="H940" s="45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4.25" customHeight="1">
      <c r="A941" s="42"/>
      <c r="B941" s="42"/>
      <c r="C941" s="41"/>
      <c r="D941" s="41"/>
      <c r="E941" s="41"/>
      <c r="F941" s="43"/>
      <c r="G941" s="44"/>
      <c r="H941" s="45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4.25" customHeight="1">
      <c r="A942" s="42"/>
      <c r="B942" s="42"/>
      <c r="C942" s="41"/>
      <c r="D942" s="41"/>
      <c r="E942" s="41"/>
      <c r="F942" s="43"/>
      <c r="G942" s="44"/>
      <c r="H942" s="45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4.25" customHeight="1">
      <c r="A943" s="42"/>
      <c r="B943" s="42"/>
      <c r="C943" s="41"/>
      <c r="D943" s="41"/>
      <c r="E943" s="41"/>
      <c r="F943" s="43"/>
      <c r="G943" s="44"/>
      <c r="H943" s="45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4.25" customHeight="1">
      <c r="A944" s="42"/>
      <c r="B944" s="42"/>
      <c r="C944" s="41"/>
      <c r="D944" s="41"/>
      <c r="E944" s="41"/>
      <c r="F944" s="43"/>
      <c r="G944" s="44"/>
      <c r="H944" s="45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4.25" customHeight="1">
      <c r="A945" s="42"/>
      <c r="B945" s="42"/>
      <c r="C945" s="41"/>
      <c r="D945" s="41"/>
      <c r="E945" s="41"/>
      <c r="F945" s="43"/>
      <c r="G945" s="44"/>
      <c r="H945" s="45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4.25" customHeight="1">
      <c r="A946" s="42"/>
      <c r="B946" s="42"/>
      <c r="C946" s="41"/>
      <c r="D946" s="41"/>
      <c r="E946" s="41"/>
      <c r="F946" s="43"/>
      <c r="G946" s="44"/>
      <c r="H946" s="45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4.25" customHeight="1">
      <c r="A947" s="42"/>
      <c r="B947" s="42"/>
      <c r="C947" s="41"/>
      <c r="D947" s="41"/>
      <c r="E947" s="41"/>
      <c r="F947" s="43"/>
      <c r="G947" s="44"/>
      <c r="H947" s="45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4.25" customHeight="1">
      <c r="A948" s="42"/>
      <c r="B948" s="42"/>
      <c r="C948" s="41"/>
      <c r="D948" s="41"/>
      <c r="E948" s="41"/>
      <c r="F948" s="43"/>
      <c r="G948" s="44"/>
      <c r="H948" s="45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4.25" customHeight="1">
      <c r="A949" s="42"/>
      <c r="B949" s="42"/>
      <c r="C949" s="41"/>
      <c r="D949" s="41"/>
      <c r="E949" s="41"/>
      <c r="F949" s="43"/>
      <c r="G949" s="44"/>
      <c r="H949" s="45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4.25" customHeight="1">
      <c r="A950" s="42"/>
      <c r="B950" s="42"/>
      <c r="C950" s="41"/>
      <c r="D950" s="41"/>
      <c r="E950" s="41"/>
      <c r="F950" s="43"/>
      <c r="G950" s="44"/>
      <c r="H950" s="45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4.25" customHeight="1">
      <c r="A951" s="42"/>
      <c r="B951" s="42"/>
      <c r="C951" s="41"/>
      <c r="D951" s="41"/>
      <c r="E951" s="41"/>
      <c r="F951" s="43"/>
      <c r="G951" s="44"/>
      <c r="H951" s="45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4.25" customHeight="1">
      <c r="A952" s="42"/>
      <c r="B952" s="42"/>
      <c r="C952" s="41"/>
      <c r="D952" s="41"/>
      <c r="E952" s="41"/>
      <c r="F952" s="43"/>
      <c r="G952" s="44"/>
      <c r="H952" s="45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4.25" customHeight="1">
      <c r="A953" s="42"/>
      <c r="B953" s="42"/>
      <c r="C953" s="41"/>
      <c r="D953" s="41"/>
      <c r="E953" s="41"/>
      <c r="F953" s="43"/>
      <c r="G953" s="44"/>
      <c r="H953" s="45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4.25" customHeight="1">
      <c r="A954" s="42"/>
      <c r="B954" s="42"/>
      <c r="C954" s="41"/>
      <c r="D954" s="41"/>
      <c r="E954" s="41"/>
      <c r="F954" s="43"/>
      <c r="G954" s="44"/>
      <c r="H954" s="45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4.25" customHeight="1">
      <c r="A955" s="42"/>
      <c r="B955" s="42"/>
      <c r="C955" s="41"/>
      <c r="D955" s="41"/>
      <c r="E955" s="41"/>
      <c r="F955" s="43"/>
      <c r="G955" s="44"/>
      <c r="H955" s="45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4.25" customHeight="1">
      <c r="A956" s="42"/>
      <c r="B956" s="42"/>
      <c r="C956" s="41"/>
      <c r="D956" s="41"/>
      <c r="E956" s="41"/>
      <c r="F956" s="43"/>
      <c r="G956" s="44"/>
      <c r="H956" s="45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4.25" customHeight="1">
      <c r="A957" s="42"/>
      <c r="B957" s="42"/>
      <c r="C957" s="41"/>
      <c r="D957" s="41"/>
      <c r="E957" s="41"/>
      <c r="F957" s="43"/>
      <c r="G957" s="44"/>
      <c r="H957" s="45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4.25" customHeight="1">
      <c r="A958" s="42"/>
      <c r="B958" s="42"/>
      <c r="C958" s="41"/>
      <c r="D958" s="41"/>
      <c r="E958" s="41"/>
      <c r="F958" s="43"/>
      <c r="G958" s="44"/>
      <c r="H958" s="45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4.25" customHeight="1">
      <c r="A959" s="42"/>
      <c r="B959" s="42"/>
      <c r="C959" s="41"/>
      <c r="D959" s="41"/>
      <c r="E959" s="41"/>
      <c r="F959" s="43"/>
      <c r="G959" s="44"/>
      <c r="H959" s="45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4.25" customHeight="1">
      <c r="A960" s="42"/>
      <c r="B960" s="42"/>
      <c r="C960" s="41"/>
      <c r="D960" s="41"/>
      <c r="E960" s="41"/>
      <c r="F960" s="43"/>
      <c r="G960" s="44"/>
      <c r="H960" s="45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4.25" customHeight="1">
      <c r="A961" s="42"/>
      <c r="B961" s="42"/>
      <c r="C961" s="41"/>
      <c r="D961" s="41"/>
      <c r="E961" s="41"/>
      <c r="F961" s="43"/>
      <c r="G961" s="44"/>
      <c r="H961" s="45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4.25" customHeight="1">
      <c r="A962" s="42"/>
      <c r="B962" s="42"/>
      <c r="C962" s="41"/>
      <c r="D962" s="41"/>
      <c r="E962" s="41"/>
      <c r="F962" s="43"/>
      <c r="G962" s="44"/>
      <c r="H962" s="45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4.25" customHeight="1">
      <c r="A963" s="42"/>
      <c r="B963" s="42"/>
      <c r="C963" s="41"/>
      <c r="D963" s="41"/>
      <c r="E963" s="41"/>
      <c r="F963" s="43"/>
      <c r="G963" s="44"/>
      <c r="H963" s="45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4.25" customHeight="1">
      <c r="A964" s="42"/>
      <c r="B964" s="42"/>
      <c r="C964" s="41"/>
      <c r="D964" s="41"/>
      <c r="E964" s="41"/>
      <c r="F964" s="43"/>
      <c r="G964" s="44"/>
      <c r="H964" s="45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4.25" customHeight="1">
      <c r="A965" s="42"/>
      <c r="B965" s="42"/>
      <c r="C965" s="41"/>
      <c r="D965" s="41"/>
      <c r="E965" s="41"/>
      <c r="F965" s="43"/>
      <c r="G965" s="44"/>
      <c r="H965" s="45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4.25" customHeight="1">
      <c r="A966" s="42"/>
      <c r="B966" s="42"/>
      <c r="C966" s="41"/>
      <c r="D966" s="41"/>
      <c r="E966" s="41"/>
      <c r="F966" s="43"/>
      <c r="G966" s="44"/>
      <c r="H966" s="45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4.25" customHeight="1">
      <c r="A967" s="42"/>
      <c r="B967" s="42"/>
      <c r="C967" s="41"/>
      <c r="D967" s="41"/>
      <c r="E967" s="41"/>
      <c r="F967" s="43"/>
      <c r="G967" s="44"/>
      <c r="H967" s="45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4.25" customHeight="1">
      <c r="A968" s="42"/>
      <c r="B968" s="42"/>
      <c r="C968" s="41"/>
      <c r="D968" s="41"/>
      <c r="E968" s="41"/>
      <c r="F968" s="43"/>
      <c r="G968" s="44"/>
      <c r="H968" s="45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4.25" customHeight="1">
      <c r="A969" s="42"/>
      <c r="B969" s="42"/>
      <c r="C969" s="41"/>
      <c r="D969" s="41"/>
      <c r="E969" s="41"/>
      <c r="F969" s="43"/>
      <c r="G969" s="44"/>
      <c r="H969" s="45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4.25" customHeight="1">
      <c r="A970" s="42"/>
      <c r="B970" s="42"/>
      <c r="C970" s="41"/>
      <c r="D970" s="41"/>
      <c r="E970" s="41"/>
      <c r="F970" s="43"/>
      <c r="G970" s="44"/>
      <c r="H970" s="45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4.25" customHeight="1">
      <c r="A971" s="42"/>
      <c r="B971" s="42"/>
      <c r="C971" s="41"/>
      <c r="D971" s="41"/>
      <c r="E971" s="41"/>
      <c r="F971" s="43"/>
      <c r="G971" s="44"/>
      <c r="H971" s="45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4.25" customHeight="1">
      <c r="A972" s="42"/>
      <c r="B972" s="42"/>
      <c r="C972" s="41"/>
      <c r="D972" s="41"/>
      <c r="E972" s="41"/>
      <c r="F972" s="43"/>
      <c r="G972" s="44"/>
      <c r="H972" s="45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4.25" customHeight="1">
      <c r="A973" s="42"/>
      <c r="B973" s="42"/>
      <c r="C973" s="41"/>
      <c r="D973" s="41"/>
      <c r="E973" s="41"/>
      <c r="F973" s="43"/>
      <c r="G973" s="44"/>
      <c r="H973" s="45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4.25" customHeight="1">
      <c r="A974" s="42"/>
      <c r="B974" s="42"/>
      <c r="C974" s="41"/>
      <c r="D974" s="41"/>
      <c r="E974" s="41"/>
      <c r="F974" s="43"/>
      <c r="G974" s="44"/>
      <c r="H974" s="45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4.25" customHeight="1">
      <c r="A975" s="42"/>
      <c r="B975" s="42"/>
      <c r="C975" s="41"/>
      <c r="D975" s="41"/>
      <c r="E975" s="41"/>
      <c r="F975" s="43"/>
      <c r="G975" s="44"/>
      <c r="H975" s="45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4.25" customHeight="1">
      <c r="A976" s="42"/>
      <c r="B976" s="42"/>
      <c r="C976" s="41"/>
      <c r="D976" s="41"/>
      <c r="E976" s="41"/>
      <c r="F976" s="43"/>
      <c r="G976" s="44"/>
      <c r="H976" s="45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4.25" customHeight="1">
      <c r="A977" s="42"/>
      <c r="B977" s="42"/>
      <c r="C977" s="41"/>
      <c r="D977" s="41"/>
      <c r="E977" s="41"/>
      <c r="F977" s="43"/>
      <c r="G977" s="44"/>
      <c r="H977" s="45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4.25" customHeight="1">
      <c r="A978" s="42"/>
      <c r="B978" s="42"/>
      <c r="C978" s="41"/>
      <c r="D978" s="41"/>
      <c r="E978" s="41"/>
      <c r="F978" s="43"/>
      <c r="G978" s="44"/>
      <c r="H978" s="45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4.25" customHeight="1">
      <c r="A979" s="42"/>
      <c r="B979" s="42"/>
      <c r="C979" s="41"/>
      <c r="D979" s="41"/>
      <c r="E979" s="41"/>
      <c r="F979" s="43"/>
      <c r="G979" s="44"/>
      <c r="H979" s="45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4.25" customHeight="1">
      <c r="A980" s="42"/>
      <c r="B980" s="42"/>
      <c r="C980" s="41"/>
      <c r="D980" s="41"/>
      <c r="E980" s="41"/>
      <c r="F980" s="43"/>
      <c r="G980" s="44"/>
      <c r="H980" s="45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4.25" customHeight="1">
      <c r="A981" s="42"/>
      <c r="B981" s="42"/>
      <c r="C981" s="41"/>
      <c r="D981" s="41"/>
      <c r="E981" s="41"/>
      <c r="F981" s="43"/>
      <c r="G981" s="44"/>
      <c r="H981" s="45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4.25" customHeight="1">
      <c r="A982" s="42"/>
      <c r="B982" s="42"/>
      <c r="C982" s="41"/>
      <c r="D982" s="41"/>
      <c r="E982" s="41"/>
      <c r="F982" s="43"/>
      <c r="G982" s="44"/>
      <c r="H982" s="45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4.25" customHeight="1">
      <c r="A983" s="42"/>
      <c r="B983" s="42"/>
      <c r="C983" s="41"/>
      <c r="D983" s="41"/>
      <c r="E983" s="41"/>
      <c r="F983" s="43"/>
      <c r="G983" s="44"/>
      <c r="H983" s="45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4.25" customHeight="1">
      <c r="A984" s="42"/>
      <c r="B984" s="42"/>
      <c r="C984" s="41"/>
      <c r="D984" s="41"/>
      <c r="E984" s="41"/>
      <c r="F984" s="43"/>
      <c r="G984" s="44"/>
      <c r="H984" s="45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4.25" customHeight="1">
      <c r="A985" s="42"/>
      <c r="B985" s="42"/>
      <c r="C985" s="41"/>
      <c r="D985" s="41"/>
      <c r="E985" s="41"/>
      <c r="F985" s="43"/>
      <c r="G985" s="44"/>
      <c r="H985" s="45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4.25" customHeight="1">
      <c r="A986" s="42"/>
      <c r="B986" s="42"/>
      <c r="C986" s="41"/>
      <c r="D986" s="41"/>
      <c r="E986" s="41"/>
      <c r="F986" s="43"/>
      <c r="G986" s="44"/>
      <c r="H986" s="45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4.25" customHeight="1">
      <c r="A987" s="42"/>
      <c r="B987" s="42"/>
      <c r="C987" s="41"/>
      <c r="D987" s="41"/>
      <c r="E987" s="41"/>
      <c r="F987" s="43"/>
      <c r="G987" s="44"/>
      <c r="H987" s="45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4.25" customHeight="1">
      <c r="A988" s="42"/>
      <c r="B988" s="42"/>
      <c r="C988" s="41"/>
      <c r="D988" s="41"/>
      <c r="E988" s="41"/>
      <c r="F988" s="43"/>
      <c r="G988" s="44"/>
      <c r="H988" s="45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4.25" customHeight="1">
      <c r="A989" s="42"/>
      <c r="B989" s="42"/>
      <c r="C989" s="41"/>
      <c r="D989" s="41"/>
      <c r="E989" s="41"/>
      <c r="F989" s="43"/>
      <c r="G989" s="44"/>
      <c r="H989" s="45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4.25" customHeight="1">
      <c r="A990" s="42"/>
      <c r="B990" s="42"/>
      <c r="C990" s="41"/>
      <c r="D990" s="41"/>
      <c r="E990" s="41"/>
      <c r="F990" s="43"/>
      <c r="G990" s="44"/>
      <c r="H990" s="45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4.25" customHeight="1">
      <c r="A991" s="42"/>
      <c r="B991" s="42"/>
      <c r="C991" s="41"/>
      <c r="D991" s="41"/>
      <c r="E991" s="41"/>
      <c r="F991" s="43"/>
      <c r="G991" s="44"/>
      <c r="H991" s="45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14.25" customHeight="1">
      <c r="A992" s="42"/>
      <c r="B992" s="42"/>
      <c r="C992" s="41"/>
      <c r="D992" s="41"/>
      <c r="E992" s="41"/>
      <c r="F992" s="43"/>
      <c r="G992" s="44"/>
      <c r="H992" s="45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14.25" customHeight="1">
      <c r="A993" s="42"/>
      <c r="B993" s="42"/>
      <c r="C993" s="41"/>
      <c r="D993" s="41"/>
      <c r="E993" s="41"/>
      <c r="F993" s="43"/>
      <c r="G993" s="44"/>
      <c r="H993" s="45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14.25" customHeight="1">
      <c r="A994" s="42"/>
      <c r="B994" s="42"/>
      <c r="C994" s="41"/>
      <c r="D994" s="41"/>
      <c r="E994" s="41"/>
      <c r="F994" s="43"/>
      <c r="G994" s="44"/>
      <c r="H994" s="45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14.25" customHeight="1">
      <c r="A995" s="42"/>
      <c r="B995" s="42"/>
      <c r="C995" s="41"/>
      <c r="D995" s="41"/>
      <c r="E995" s="41"/>
      <c r="F995" s="43"/>
      <c r="G995" s="44"/>
      <c r="H995" s="45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14.25" customHeight="1">
      <c r="A996" s="42"/>
      <c r="B996" s="42"/>
      <c r="C996" s="41"/>
      <c r="D996" s="41"/>
      <c r="E996" s="41"/>
      <c r="F996" s="43"/>
      <c r="G996" s="44"/>
      <c r="H996" s="45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14.25" customHeight="1">
      <c r="A997" s="42"/>
      <c r="B997" s="42"/>
      <c r="C997" s="41"/>
      <c r="D997" s="41"/>
      <c r="E997" s="41"/>
      <c r="F997" s="43"/>
      <c r="G997" s="44"/>
      <c r="H997" s="45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14.25" customHeight="1">
      <c r="A998" s="42"/>
      <c r="B998" s="42"/>
      <c r="C998" s="41"/>
      <c r="D998" s="41"/>
      <c r="E998" s="41"/>
      <c r="F998" s="43"/>
      <c r="G998" s="44"/>
      <c r="H998" s="45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</sheetData>
  <mergeCells count="1">
    <mergeCell ref="A1:F1"/>
  </mergeCells>
  <phoneticPr fontId="27" type="noConversion"/>
  <conditionalFormatting sqref="C4:C6 E5:E6">
    <cfRule type="cellIs" dxfId="15" priority="2" operator="equal">
      <formula>""</formula>
    </cfRule>
  </conditionalFormatting>
  <conditionalFormatting sqref="H4:H5">
    <cfRule type="cellIs" dxfId="14" priority="1" operator="equal">
      <formula>""</formula>
    </cfRule>
  </conditionalFormatting>
  <pageMargins left="0.7" right="0.7" top="0.75" bottom="0.75" header="0" footer="0"/>
  <pageSetup paperSize="9" scale="78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'Lista de Tiendas'!$G$3:$G$18</xm:f>
          </x14:formula1>
          <xm:sqref>H3</xm:sqref>
        </x14:dataValidation>
        <x14:dataValidation type="list" allowBlank="1" showErrorMessage="1" xr:uid="{00000000-0002-0000-0000-000001000000}">
          <x14:formula1>
            <xm:f>'Lista de Tiendas'!$A$3:$A$200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8B8"/>
  </sheetPr>
  <dimension ref="A1:Z1000"/>
  <sheetViews>
    <sheetView showGridLines="0" workbookViewId="0">
      <pane ySplit="3" topLeftCell="A56" activePane="bottomLeft" state="frozen"/>
      <selection pane="bottomLeft" activeCell="A65" sqref="A65"/>
    </sheetView>
  </sheetViews>
  <sheetFormatPr baseColWidth="10" defaultColWidth="14.44140625" defaultRowHeight="15" customHeight="1"/>
  <cols>
    <col min="1" max="1" width="9.5546875" customWidth="1"/>
    <col min="2" max="2" width="54.88671875" customWidth="1"/>
    <col min="3" max="3" width="12.44140625" customWidth="1"/>
    <col min="4" max="4" width="13.44140625" customWidth="1"/>
    <col min="5" max="26" width="11.44140625" customWidth="1"/>
  </cols>
  <sheetData>
    <row r="1" spans="1:26" ht="14.25" customHeight="1">
      <c r="A1" s="114" t="s">
        <v>36</v>
      </c>
      <c r="B1" s="115"/>
      <c r="C1" s="47"/>
      <c r="D1" s="48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1.25" customHeight="1">
      <c r="A2" s="49"/>
      <c r="B2" s="49" t="s">
        <v>37</v>
      </c>
      <c r="C2" s="50" t="s">
        <v>38</v>
      </c>
      <c r="D2" s="48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8.75" customHeight="1">
      <c r="A3" s="80" t="s">
        <v>39</v>
      </c>
      <c r="B3" s="51" t="s">
        <v>40</v>
      </c>
      <c r="C3" s="51" t="s">
        <v>41</v>
      </c>
      <c r="D3" s="83" t="s">
        <v>42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1.25" customHeight="1">
      <c r="A4" s="81"/>
      <c r="B4" s="53" t="s">
        <v>43</v>
      </c>
      <c r="C4" s="52"/>
      <c r="D4" s="84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1.25" customHeight="1">
      <c r="A5" s="82" t="s">
        <v>44</v>
      </c>
      <c r="B5" s="54" t="s">
        <v>45</v>
      </c>
      <c r="C5" s="38" t="s">
        <v>41</v>
      </c>
      <c r="D5" s="85">
        <v>81.86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11.25" customHeight="1">
      <c r="A6" s="82" t="s">
        <v>46</v>
      </c>
      <c r="B6" s="54" t="s">
        <v>47</v>
      </c>
      <c r="C6" s="38" t="s">
        <v>41</v>
      </c>
      <c r="D6" s="85">
        <v>93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1.25" customHeight="1">
      <c r="A7" s="82" t="s">
        <v>48</v>
      </c>
      <c r="B7" s="54" t="s">
        <v>49</v>
      </c>
      <c r="C7" s="38" t="s">
        <v>41</v>
      </c>
      <c r="D7" s="85">
        <v>219.51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1.25" customHeight="1">
      <c r="A8" s="82" t="s">
        <v>50</v>
      </c>
      <c r="B8" s="54" t="s">
        <v>51</v>
      </c>
      <c r="C8" s="38" t="s">
        <v>41</v>
      </c>
      <c r="D8" s="85">
        <v>219.51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1.25" customHeight="1">
      <c r="A9" s="82" t="s">
        <v>52</v>
      </c>
      <c r="B9" s="54" t="s">
        <v>53</v>
      </c>
      <c r="C9" s="38" t="s">
        <v>41</v>
      </c>
      <c r="D9" s="85">
        <v>221.89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1.25" customHeight="1">
      <c r="A10" s="82" t="s">
        <v>54</v>
      </c>
      <c r="B10" s="54" t="s">
        <v>55</v>
      </c>
      <c r="C10" s="38" t="s">
        <v>41</v>
      </c>
      <c r="D10" s="85">
        <v>234.04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1.25" customHeight="1">
      <c r="A11" s="82" t="s">
        <v>56</v>
      </c>
      <c r="B11" s="54" t="s">
        <v>57</v>
      </c>
      <c r="C11" s="38" t="s">
        <v>41</v>
      </c>
      <c r="D11" s="85">
        <v>240.89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1.25" customHeight="1">
      <c r="A12" s="82" t="s">
        <v>58</v>
      </c>
      <c r="B12" s="54" t="s">
        <v>59</v>
      </c>
      <c r="C12" s="38" t="s">
        <v>41</v>
      </c>
      <c r="D12" s="85">
        <v>214.89</v>
      </c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1.25" customHeight="1">
      <c r="A13" s="82" t="s">
        <v>35</v>
      </c>
      <c r="B13" s="54" t="s">
        <v>60</v>
      </c>
      <c r="C13" s="38" t="s">
        <v>61</v>
      </c>
      <c r="D13" s="85">
        <v>165.76</v>
      </c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1.25" customHeight="1">
      <c r="A14" s="82" t="s">
        <v>62</v>
      </c>
      <c r="B14" s="54" t="s">
        <v>63</v>
      </c>
      <c r="C14" s="38" t="s">
        <v>64</v>
      </c>
      <c r="D14" s="85">
        <v>117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1.25" customHeight="1">
      <c r="A15" s="82" t="s">
        <v>65</v>
      </c>
      <c r="B15" s="54" t="s">
        <v>66</v>
      </c>
      <c r="C15" s="38" t="s">
        <v>67</v>
      </c>
      <c r="D15" s="86">
        <v>26.52</v>
      </c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1.25" customHeight="1">
      <c r="A16" s="82" t="s">
        <v>68</v>
      </c>
      <c r="B16" s="54" t="s">
        <v>69</v>
      </c>
      <c r="C16" s="38" t="s">
        <v>67</v>
      </c>
      <c r="D16" s="86">
        <v>26.52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11.25" customHeight="1">
      <c r="A17" s="82" t="s">
        <v>70</v>
      </c>
      <c r="B17" s="54" t="s">
        <v>71</v>
      </c>
      <c r="C17" s="38" t="s">
        <v>67</v>
      </c>
      <c r="D17" s="86">
        <v>33.75</v>
      </c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1.25" customHeight="1">
      <c r="A18" s="82" t="s">
        <v>72</v>
      </c>
      <c r="B18" s="54" t="s">
        <v>73</v>
      </c>
      <c r="C18" s="38" t="s">
        <v>67</v>
      </c>
      <c r="D18" s="86">
        <v>33.75</v>
      </c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1.25" customHeight="1">
      <c r="A19" s="82" t="s">
        <v>74</v>
      </c>
      <c r="B19" s="54" t="s">
        <v>75</v>
      </c>
      <c r="C19" s="38" t="s">
        <v>67</v>
      </c>
      <c r="D19" s="86">
        <v>41.25</v>
      </c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1.25" customHeight="1">
      <c r="A20" s="82" t="s">
        <v>76</v>
      </c>
      <c r="B20" s="54" t="s">
        <v>77</v>
      </c>
      <c r="C20" s="38" t="s">
        <v>67</v>
      </c>
      <c r="D20" s="86">
        <v>41.25</v>
      </c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1.25" customHeight="1">
      <c r="A21" s="82" t="s">
        <v>78</v>
      </c>
      <c r="B21" s="54" t="s">
        <v>79</v>
      </c>
      <c r="C21" s="38" t="s">
        <v>67</v>
      </c>
      <c r="D21" s="86">
        <v>41.25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1.25" customHeight="1">
      <c r="A22" s="82" t="s">
        <v>80</v>
      </c>
      <c r="B22" s="54" t="s">
        <v>81</v>
      </c>
      <c r="C22" s="38" t="s">
        <v>67</v>
      </c>
      <c r="D22" s="86">
        <v>41.25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1.25" customHeight="1">
      <c r="A23" s="82" t="s">
        <v>82</v>
      </c>
      <c r="B23" s="54" t="s">
        <v>83</v>
      </c>
      <c r="C23" s="38" t="s">
        <v>67</v>
      </c>
      <c r="D23" s="86">
        <v>41.25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1.25" customHeight="1">
      <c r="A24" s="82" t="s">
        <v>84</v>
      </c>
      <c r="B24" s="54" t="s">
        <v>85</v>
      </c>
      <c r="C24" s="38" t="s">
        <v>67</v>
      </c>
      <c r="D24" s="86">
        <v>41.25</v>
      </c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1.25" customHeight="1">
      <c r="A25" s="82" t="s">
        <v>86</v>
      </c>
      <c r="B25" s="54" t="s">
        <v>87</v>
      </c>
      <c r="C25" s="38" t="s">
        <v>67</v>
      </c>
      <c r="D25" s="86">
        <v>41.25</v>
      </c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1.25" customHeight="1">
      <c r="A26" s="82" t="s">
        <v>88</v>
      </c>
      <c r="B26" s="54" t="s">
        <v>89</v>
      </c>
      <c r="C26" s="38" t="s">
        <v>90</v>
      </c>
      <c r="D26" s="86" t="s">
        <v>91</v>
      </c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1.25" customHeight="1">
      <c r="A27" s="82" t="s">
        <v>92</v>
      </c>
      <c r="B27" s="54" t="s">
        <v>93</v>
      </c>
      <c r="C27" s="38" t="s">
        <v>90</v>
      </c>
      <c r="D27" s="86" t="s">
        <v>91</v>
      </c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1.25" customHeight="1">
      <c r="A28" s="82" t="s">
        <v>94</v>
      </c>
      <c r="B28" s="54" t="s">
        <v>95</v>
      </c>
      <c r="C28" s="38" t="s">
        <v>90</v>
      </c>
      <c r="D28" s="85" t="s">
        <v>91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1.25" customHeight="1">
      <c r="A29" s="82" t="s">
        <v>96</v>
      </c>
      <c r="B29" s="54" t="s">
        <v>97</v>
      </c>
      <c r="C29" s="38" t="s">
        <v>90</v>
      </c>
      <c r="D29" s="85" t="s">
        <v>91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1.25" customHeight="1">
      <c r="A30" s="82" t="s">
        <v>98</v>
      </c>
      <c r="B30" s="54" t="s">
        <v>99</v>
      </c>
      <c r="C30" s="38" t="s">
        <v>90</v>
      </c>
      <c r="D30" s="85" t="s">
        <v>91</v>
      </c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1.25" customHeight="1">
      <c r="A31" s="82" t="s">
        <v>100</v>
      </c>
      <c r="B31" s="54" t="s">
        <v>101</v>
      </c>
      <c r="C31" s="38" t="s">
        <v>90</v>
      </c>
      <c r="D31" s="85" t="s">
        <v>91</v>
      </c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1.25" customHeight="1">
      <c r="A32" s="82" t="s">
        <v>102</v>
      </c>
      <c r="B32" s="54" t="s">
        <v>103</v>
      </c>
      <c r="C32" s="38" t="s">
        <v>90</v>
      </c>
      <c r="D32" s="85" t="s">
        <v>91</v>
      </c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1.25" customHeight="1">
      <c r="A33" s="82" t="s">
        <v>104</v>
      </c>
      <c r="B33" s="54" t="s">
        <v>105</v>
      </c>
      <c r="C33" s="38" t="s">
        <v>90</v>
      </c>
      <c r="D33" s="85" t="s">
        <v>91</v>
      </c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1.25" customHeight="1">
      <c r="A34" s="82" t="s">
        <v>106</v>
      </c>
      <c r="B34" s="54" t="s">
        <v>107</v>
      </c>
      <c r="C34" s="38" t="s">
        <v>90</v>
      </c>
      <c r="D34" s="85" t="s">
        <v>91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1.25" customHeight="1">
      <c r="A35" s="82" t="s">
        <v>108</v>
      </c>
      <c r="B35" s="54" t="s">
        <v>109</v>
      </c>
      <c r="C35" s="38" t="s">
        <v>90</v>
      </c>
      <c r="D35" s="86" t="s">
        <v>91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1.25" customHeight="1">
      <c r="A36" s="82" t="s">
        <v>110</v>
      </c>
      <c r="B36" s="54" t="s">
        <v>111</v>
      </c>
      <c r="C36" s="38" t="s">
        <v>90</v>
      </c>
      <c r="D36" s="87" t="s">
        <v>91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1.25" customHeight="1">
      <c r="A37" s="82" t="s">
        <v>112</v>
      </c>
      <c r="B37" s="54" t="s">
        <v>113</v>
      </c>
      <c r="C37" s="38" t="s">
        <v>90</v>
      </c>
      <c r="D37" s="87" t="s">
        <v>91</v>
      </c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1.25" customHeight="1">
      <c r="A38" s="82" t="s">
        <v>114</v>
      </c>
      <c r="B38" s="54" t="s">
        <v>60</v>
      </c>
      <c r="C38" s="38" t="s">
        <v>61</v>
      </c>
      <c r="D38" s="85">
        <v>165.76</v>
      </c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1.25" customHeight="1">
      <c r="A39" s="82" t="s">
        <v>115</v>
      </c>
      <c r="B39" s="54" t="s">
        <v>116</v>
      </c>
      <c r="C39" s="38" t="s">
        <v>64</v>
      </c>
      <c r="D39" s="85" t="s">
        <v>91</v>
      </c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1.25" customHeight="1">
      <c r="A40" s="82" t="s">
        <v>117</v>
      </c>
      <c r="B40" s="54" t="s">
        <v>118</v>
      </c>
      <c r="C40" s="38" t="s">
        <v>64</v>
      </c>
      <c r="D40" s="85">
        <v>267.27999999999997</v>
      </c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1.25" customHeight="1">
      <c r="A41" s="82" t="s">
        <v>119</v>
      </c>
      <c r="B41" s="54" t="s">
        <v>120</v>
      </c>
      <c r="C41" s="38" t="s">
        <v>64</v>
      </c>
      <c r="D41" s="85">
        <v>190</v>
      </c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1.25" customHeight="1">
      <c r="A42" s="82" t="s">
        <v>121</v>
      </c>
      <c r="B42" s="54" t="s">
        <v>122</v>
      </c>
      <c r="C42" s="38" t="s">
        <v>64</v>
      </c>
      <c r="D42" s="85">
        <v>177.83</v>
      </c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1.25" customHeight="1">
      <c r="A43" s="82" t="s">
        <v>123</v>
      </c>
      <c r="B43" s="54" t="s">
        <v>124</v>
      </c>
      <c r="C43" s="38" t="s">
        <v>64</v>
      </c>
      <c r="D43" s="85">
        <v>202</v>
      </c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1.25" customHeight="1">
      <c r="A44" s="82" t="s">
        <v>125</v>
      </c>
      <c r="B44" s="54" t="s">
        <v>126</v>
      </c>
      <c r="C44" s="38" t="s">
        <v>64</v>
      </c>
      <c r="D44" s="85">
        <v>29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1.25" customHeight="1">
      <c r="A45" s="82" t="s">
        <v>127</v>
      </c>
      <c r="B45" s="54" t="s">
        <v>128</v>
      </c>
      <c r="C45" s="38" t="s">
        <v>64</v>
      </c>
      <c r="D45" s="85">
        <v>206.37</v>
      </c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1.25" customHeight="1">
      <c r="A46" s="82" t="s">
        <v>129</v>
      </c>
      <c r="B46" s="54" t="s">
        <v>130</v>
      </c>
      <c r="C46" s="38" t="s">
        <v>64</v>
      </c>
      <c r="D46" s="85">
        <v>34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1.25" customHeight="1">
      <c r="A47" s="82" t="s">
        <v>131</v>
      </c>
      <c r="B47" s="54" t="s">
        <v>132</v>
      </c>
      <c r="C47" s="38" t="s">
        <v>64</v>
      </c>
      <c r="D47" s="85">
        <v>34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1.25" customHeight="1">
      <c r="A48" s="82" t="s">
        <v>133</v>
      </c>
      <c r="B48" s="54" t="s">
        <v>134</v>
      </c>
      <c r="C48" s="38" t="s">
        <v>64</v>
      </c>
      <c r="D48" s="85">
        <v>48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1.25" customHeight="1">
      <c r="A49" s="82" t="s">
        <v>135</v>
      </c>
      <c r="B49" s="54" t="s">
        <v>136</v>
      </c>
      <c r="C49" s="38" t="s">
        <v>64</v>
      </c>
      <c r="D49" s="85">
        <v>140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1.25" customHeight="1">
      <c r="A50" s="82" t="s">
        <v>137</v>
      </c>
      <c r="B50" s="54" t="s">
        <v>138</v>
      </c>
      <c r="C50" s="38" t="s">
        <v>64</v>
      </c>
      <c r="D50" s="86" t="s">
        <v>91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1.25" customHeight="1">
      <c r="A51" s="82" t="s">
        <v>139</v>
      </c>
      <c r="B51" s="54" t="s">
        <v>140</v>
      </c>
      <c r="C51" s="38" t="s">
        <v>64</v>
      </c>
      <c r="D51" s="87" t="s">
        <v>91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1.25" customHeight="1">
      <c r="A52" s="82" t="s">
        <v>141</v>
      </c>
      <c r="B52" s="54" t="s">
        <v>142</v>
      </c>
      <c r="C52" s="38" t="s">
        <v>64</v>
      </c>
      <c r="D52" s="87" t="s">
        <v>91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1.25" customHeight="1">
      <c r="A53" s="82" t="s">
        <v>143</v>
      </c>
      <c r="B53" s="54" t="s">
        <v>144</v>
      </c>
      <c r="C53" s="38" t="s">
        <v>64</v>
      </c>
      <c r="D53" s="85" t="s">
        <v>91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1.25" customHeight="1">
      <c r="A54" s="82" t="s">
        <v>145</v>
      </c>
      <c r="B54" s="54" t="s">
        <v>146</v>
      </c>
      <c r="C54" s="38" t="s">
        <v>64</v>
      </c>
      <c r="D54" s="85" t="s">
        <v>91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1.25" customHeight="1">
      <c r="A55" s="82" t="s">
        <v>147</v>
      </c>
      <c r="B55" s="54" t="s">
        <v>148</v>
      </c>
      <c r="C55" s="38" t="s">
        <v>64</v>
      </c>
      <c r="D55" s="85" t="s">
        <v>91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1.25" customHeight="1">
      <c r="A56" s="82" t="s">
        <v>149</v>
      </c>
      <c r="B56" s="54" t="s">
        <v>150</v>
      </c>
      <c r="C56" s="38" t="s">
        <v>151</v>
      </c>
      <c r="D56" s="85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1.25" customHeight="1">
      <c r="A57" s="82" t="s">
        <v>152</v>
      </c>
      <c r="B57" s="54" t="s">
        <v>150</v>
      </c>
      <c r="C57" s="38" t="s">
        <v>153</v>
      </c>
      <c r="D57" s="85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1.25" customHeight="1">
      <c r="A58" s="82" t="s">
        <v>154</v>
      </c>
      <c r="B58" s="54" t="s">
        <v>150</v>
      </c>
      <c r="C58" s="38" t="s">
        <v>155</v>
      </c>
      <c r="D58" s="85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1.25" customHeight="1">
      <c r="A59" s="82" t="s">
        <v>156</v>
      </c>
      <c r="B59" s="54" t="s">
        <v>150</v>
      </c>
      <c r="C59" s="38" t="s">
        <v>157</v>
      </c>
      <c r="D59" s="85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1.25" customHeight="1">
      <c r="A60" s="82" t="s">
        <v>158</v>
      </c>
      <c r="B60" s="54" t="s">
        <v>159</v>
      </c>
      <c r="C60" s="38" t="s">
        <v>151</v>
      </c>
      <c r="D60" s="85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1.25" customHeight="1">
      <c r="A61" s="82" t="s">
        <v>160</v>
      </c>
      <c r="B61" s="54" t="s">
        <v>159</v>
      </c>
      <c r="C61" s="38" t="s">
        <v>153</v>
      </c>
      <c r="D61" s="85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>
      <c r="A62" s="82" t="s">
        <v>161</v>
      </c>
      <c r="B62" s="54" t="s">
        <v>159</v>
      </c>
      <c r="C62" s="38" t="s">
        <v>155</v>
      </c>
      <c r="D62" s="85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1.25" customHeight="1">
      <c r="A63" s="82" t="s">
        <v>162</v>
      </c>
      <c r="B63" s="54" t="s">
        <v>159</v>
      </c>
      <c r="C63" s="38" t="s">
        <v>157</v>
      </c>
      <c r="D63" s="85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1.25" customHeight="1">
      <c r="A64" s="82" t="s">
        <v>163</v>
      </c>
      <c r="B64" s="54" t="s">
        <v>164</v>
      </c>
      <c r="C64" s="38" t="s">
        <v>151</v>
      </c>
      <c r="D64" s="85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1.25" customHeight="1">
      <c r="A65" s="82" t="s">
        <v>165</v>
      </c>
      <c r="B65" s="54" t="s">
        <v>164</v>
      </c>
      <c r="C65" s="38" t="s">
        <v>153</v>
      </c>
      <c r="D65" s="85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1.25" customHeight="1">
      <c r="A66" s="82" t="s">
        <v>166</v>
      </c>
      <c r="B66" s="54" t="s">
        <v>164</v>
      </c>
      <c r="C66" s="38" t="s">
        <v>155</v>
      </c>
      <c r="D66" s="85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1.25" customHeight="1">
      <c r="A67" s="82" t="s">
        <v>167</v>
      </c>
      <c r="B67" s="54" t="s">
        <v>164</v>
      </c>
      <c r="C67" s="38" t="s">
        <v>157</v>
      </c>
      <c r="D67" s="85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1.25" customHeight="1">
      <c r="A68" s="82" t="s">
        <v>168</v>
      </c>
      <c r="B68" s="54" t="s">
        <v>169</v>
      </c>
      <c r="C68" s="38" t="s">
        <v>151</v>
      </c>
      <c r="D68" s="85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1.25" customHeight="1">
      <c r="A69" s="82" t="s">
        <v>170</v>
      </c>
      <c r="B69" s="54" t="s">
        <v>169</v>
      </c>
      <c r="C69" s="38" t="s">
        <v>153</v>
      </c>
      <c r="D69" s="85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1.25" customHeight="1">
      <c r="A70" s="82" t="s">
        <v>171</v>
      </c>
      <c r="B70" s="54" t="s">
        <v>169</v>
      </c>
      <c r="C70" s="38" t="s">
        <v>155</v>
      </c>
      <c r="D70" s="85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1.25" customHeight="1">
      <c r="A71" s="82" t="s">
        <v>172</v>
      </c>
      <c r="B71" s="54" t="s">
        <v>169</v>
      </c>
      <c r="C71" s="38" t="s">
        <v>157</v>
      </c>
      <c r="D71" s="85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1.25" customHeight="1">
      <c r="A72" s="81"/>
      <c r="B72" s="53" t="s">
        <v>173</v>
      </c>
      <c r="C72" s="52"/>
      <c r="D72" s="84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0.8" customHeight="1">
      <c r="A73" s="82" t="s">
        <v>34</v>
      </c>
      <c r="B73" s="55" t="s">
        <v>174</v>
      </c>
      <c r="C73" s="56" t="s">
        <v>41</v>
      </c>
      <c r="D73" s="88">
        <v>324.18</v>
      </c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0.8" customHeight="1">
      <c r="A74" s="82" t="s">
        <v>175</v>
      </c>
      <c r="B74" s="55" t="s">
        <v>174</v>
      </c>
      <c r="C74" s="56" t="s">
        <v>176</v>
      </c>
      <c r="D74" s="88">
        <v>324.18</v>
      </c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1.25" customHeight="1">
      <c r="A75" s="82" t="s">
        <v>177</v>
      </c>
      <c r="B75" s="55" t="s">
        <v>174</v>
      </c>
      <c r="C75" s="56" t="s">
        <v>178</v>
      </c>
      <c r="D75" s="88">
        <v>324.18</v>
      </c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1.25" customHeight="1">
      <c r="A76" s="82" t="s">
        <v>179</v>
      </c>
      <c r="B76" s="55" t="s">
        <v>174</v>
      </c>
      <c r="C76" s="56" t="s">
        <v>180</v>
      </c>
      <c r="D76" s="88">
        <v>324.18</v>
      </c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1.25" customHeight="1">
      <c r="A77" s="82" t="s">
        <v>181</v>
      </c>
      <c r="B77" s="55" t="s">
        <v>182</v>
      </c>
      <c r="C77" s="56" t="s">
        <v>41</v>
      </c>
      <c r="D77" s="89">
        <v>196</v>
      </c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1.25" customHeight="1">
      <c r="A78" s="82" t="s">
        <v>183</v>
      </c>
      <c r="B78" s="55" t="s">
        <v>184</v>
      </c>
      <c r="C78" s="56" t="s">
        <v>41</v>
      </c>
      <c r="D78" s="90">
        <v>32</v>
      </c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1.25" customHeight="1">
      <c r="A79" s="82" t="s">
        <v>185</v>
      </c>
      <c r="B79" s="55" t="s">
        <v>186</v>
      </c>
      <c r="C79" s="56" t="s">
        <v>41</v>
      </c>
      <c r="D79" s="89">
        <v>93</v>
      </c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1.25" customHeight="1">
      <c r="A80" s="82" t="s">
        <v>187</v>
      </c>
      <c r="B80" s="54" t="s">
        <v>188</v>
      </c>
      <c r="C80" s="38" t="s">
        <v>41</v>
      </c>
      <c r="D80" s="85">
        <v>463.25</v>
      </c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1.25" customHeight="1">
      <c r="A81" s="82" t="s">
        <v>189</v>
      </c>
      <c r="B81" s="54" t="s">
        <v>190</v>
      </c>
      <c r="C81" s="38" t="s">
        <v>41</v>
      </c>
      <c r="D81" s="86">
        <v>204</v>
      </c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1.25" customHeight="1">
      <c r="A82" s="82" t="s">
        <v>191</v>
      </c>
      <c r="B82" s="55" t="s">
        <v>192</v>
      </c>
      <c r="C82" s="56" t="s">
        <v>41</v>
      </c>
      <c r="D82" s="89">
        <v>16.399999999999999</v>
      </c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1.25" customHeight="1">
      <c r="A83" s="82" t="s">
        <v>193</v>
      </c>
      <c r="B83" s="55" t="s">
        <v>194</v>
      </c>
      <c r="C83" s="56" t="s">
        <v>41</v>
      </c>
      <c r="D83" s="90">
        <v>16.399999999999999</v>
      </c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1.25" customHeight="1">
      <c r="A84" s="82" t="s">
        <v>195</v>
      </c>
      <c r="B84" s="55" t="s">
        <v>196</v>
      </c>
      <c r="C84" s="56" t="s">
        <v>41</v>
      </c>
      <c r="D84" s="90">
        <v>16.399999999999999</v>
      </c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1.25" customHeight="1">
      <c r="A85" s="82" t="s">
        <v>197</v>
      </c>
      <c r="B85" s="54" t="s">
        <v>198</v>
      </c>
      <c r="C85" s="38" t="s">
        <v>41</v>
      </c>
      <c r="D85" s="86">
        <v>39</v>
      </c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1.25" customHeight="1">
      <c r="A86" s="82" t="s">
        <v>199</v>
      </c>
      <c r="B86" s="54" t="s">
        <v>200</v>
      </c>
      <c r="C86" s="38" t="s">
        <v>41</v>
      </c>
      <c r="D86" s="87">
        <v>21.6</v>
      </c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1.25" customHeight="1">
      <c r="A87" s="82" t="s">
        <v>201</v>
      </c>
      <c r="B87" s="54" t="s">
        <v>202</v>
      </c>
      <c r="C87" s="38" t="s">
        <v>41</v>
      </c>
      <c r="D87" s="87">
        <v>70</v>
      </c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1.25" customHeight="1">
      <c r="A88" s="82" t="s">
        <v>203</v>
      </c>
      <c r="B88" s="54" t="s">
        <v>204</v>
      </c>
      <c r="C88" s="38" t="s">
        <v>41</v>
      </c>
      <c r="D88" s="86">
        <v>36</v>
      </c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1.25" customHeight="1">
      <c r="A89" s="82" t="s">
        <v>205</v>
      </c>
      <c r="B89" s="54" t="s">
        <v>206</v>
      </c>
      <c r="C89" s="38" t="s">
        <v>41</v>
      </c>
      <c r="D89" s="87">
        <v>58</v>
      </c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1.25" customHeight="1">
      <c r="A90" s="82" t="s">
        <v>207</v>
      </c>
      <c r="B90" s="54" t="s">
        <v>208</v>
      </c>
      <c r="C90" s="38" t="s">
        <v>41</v>
      </c>
      <c r="D90" s="85">
        <v>58</v>
      </c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1.25" customHeight="1">
      <c r="A91" s="82" t="s">
        <v>209</v>
      </c>
      <c r="B91" s="55" t="s">
        <v>210</v>
      </c>
      <c r="C91" s="56" t="s">
        <v>41</v>
      </c>
      <c r="D91" s="89">
        <v>43</v>
      </c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1.25" customHeight="1">
      <c r="A92" s="82" t="s">
        <v>211</v>
      </c>
      <c r="B92" s="55" t="s">
        <v>212</v>
      </c>
      <c r="C92" s="56" t="s">
        <v>41</v>
      </c>
      <c r="D92" s="89">
        <v>22.54</v>
      </c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1.25" customHeight="1">
      <c r="A93" s="82" t="s">
        <v>213</v>
      </c>
      <c r="B93" s="54" t="s">
        <v>214</v>
      </c>
      <c r="C93" s="38" t="s">
        <v>215</v>
      </c>
      <c r="D93" s="86">
        <v>41</v>
      </c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1.25" customHeight="1">
      <c r="A94" s="82" t="s">
        <v>216</v>
      </c>
      <c r="B94" s="54" t="s">
        <v>217</v>
      </c>
      <c r="C94" s="38" t="s">
        <v>41</v>
      </c>
      <c r="D94" s="87">
        <v>24.31</v>
      </c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1.25" customHeight="1">
      <c r="A95" s="82" t="s">
        <v>218</v>
      </c>
      <c r="B95" s="54" t="s">
        <v>219</v>
      </c>
      <c r="C95" s="38" t="s">
        <v>41</v>
      </c>
      <c r="D95" s="86">
        <v>18</v>
      </c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1.25" customHeight="1">
      <c r="A96" s="82" t="s">
        <v>220</v>
      </c>
      <c r="B96" s="54" t="s">
        <v>221</v>
      </c>
      <c r="C96" s="38" t="s">
        <v>222</v>
      </c>
      <c r="D96" s="87">
        <v>938</v>
      </c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1.25" customHeight="1">
      <c r="A97" s="82" t="s">
        <v>223</v>
      </c>
      <c r="B97" s="54" t="s">
        <v>224</v>
      </c>
      <c r="C97" s="38" t="s">
        <v>225</v>
      </c>
      <c r="D97" s="86">
        <v>22</v>
      </c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1.25" customHeight="1">
      <c r="A98" s="82" t="s">
        <v>226</v>
      </c>
      <c r="B98" s="55" t="s">
        <v>227</v>
      </c>
      <c r="C98" s="56" t="s">
        <v>41</v>
      </c>
      <c r="D98" s="89">
        <v>223</v>
      </c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1.25" customHeight="1">
      <c r="A99" s="82" t="s">
        <v>228</v>
      </c>
      <c r="B99" s="54" t="s">
        <v>229</v>
      </c>
      <c r="C99" s="38" t="s">
        <v>41</v>
      </c>
      <c r="D99" s="87">
        <v>113.806</v>
      </c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1.25" customHeight="1">
      <c r="A100" s="82" t="s">
        <v>230</v>
      </c>
      <c r="B100" s="54" t="s">
        <v>231</v>
      </c>
      <c r="C100" s="38" t="s">
        <v>41</v>
      </c>
      <c r="D100" s="87">
        <v>286.35000000000002</v>
      </c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1.25" customHeight="1">
      <c r="A101" s="82" t="s">
        <v>232</v>
      </c>
      <c r="B101" s="54" t="s">
        <v>233</v>
      </c>
      <c r="C101" s="38" t="s">
        <v>41</v>
      </c>
      <c r="D101" s="86">
        <v>348.92</v>
      </c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1.25" customHeight="1">
      <c r="A102" s="82" t="s">
        <v>234</v>
      </c>
      <c r="B102" s="54" t="s">
        <v>235</v>
      </c>
      <c r="C102" s="38" t="s">
        <v>41</v>
      </c>
      <c r="D102" s="87">
        <v>131</v>
      </c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1.25" customHeight="1">
      <c r="A103" s="82" t="s">
        <v>236</v>
      </c>
      <c r="B103" s="54" t="s">
        <v>237</v>
      </c>
      <c r="C103" s="38" t="s">
        <v>215</v>
      </c>
      <c r="D103" s="86">
        <v>39</v>
      </c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1.25" customHeight="1">
      <c r="A104" s="82" t="s">
        <v>238</v>
      </c>
      <c r="B104" s="54" t="s">
        <v>239</v>
      </c>
      <c r="C104" s="38" t="s">
        <v>41</v>
      </c>
      <c r="D104" s="87">
        <v>39</v>
      </c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1.25" customHeight="1">
      <c r="A105" s="82" t="s">
        <v>240</v>
      </c>
      <c r="B105" s="54" t="s">
        <v>241</v>
      </c>
      <c r="C105" s="38" t="s">
        <v>41</v>
      </c>
      <c r="D105" s="87">
        <v>36.231999999999999</v>
      </c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1.25" customHeight="1">
      <c r="A106" s="82" t="s">
        <v>242</v>
      </c>
      <c r="B106" s="54" t="s">
        <v>243</v>
      </c>
      <c r="C106" s="38" t="s">
        <v>41</v>
      </c>
      <c r="D106" s="86">
        <v>32.487000000000002</v>
      </c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1.25" customHeight="1">
      <c r="A107" s="82" t="s">
        <v>244</v>
      </c>
      <c r="B107" s="54" t="s">
        <v>245</v>
      </c>
      <c r="C107" s="38" t="s">
        <v>41</v>
      </c>
      <c r="D107" s="86">
        <v>43.316000000000003</v>
      </c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1.25" customHeight="1">
      <c r="A108" s="82" t="s">
        <v>246</v>
      </c>
      <c r="B108" s="54" t="s">
        <v>247</v>
      </c>
      <c r="C108" s="38" t="s">
        <v>41</v>
      </c>
      <c r="D108" s="86">
        <v>69</v>
      </c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1.25" customHeight="1">
      <c r="A109" s="82" t="s">
        <v>248</v>
      </c>
      <c r="B109" s="54" t="s">
        <v>249</v>
      </c>
      <c r="C109" s="38" t="s">
        <v>41</v>
      </c>
      <c r="D109" s="86">
        <v>3.4089999999999998</v>
      </c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1.25" customHeight="1">
      <c r="A110" s="82" t="s">
        <v>250</v>
      </c>
      <c r="B110" s="54" t="s">
        <v>251</v>
      </c>
      <c r="C110" s="38" t="s">
        <v>41</v>
      </c>
      <c r="D110" s="86">
        <v>58.975000000000001</v>
      </c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1.25" customHeight="1">
      <c r="A111" s="82" t="s">
        <v>252</v>
      </c>
      <c r="B111" s="54" t="s">
        <v>253</v>
      </c>
      <c r="C111" s="38" t="s">
        <v>41</v>
      </c>
      <c r="D111" s="86">
        <v>65.8</v>
      </c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1.25" customHeight="1">
      <c r="A112" s="82" t="s">
        <v>254</v>
      </c>
      <c r="B112" s="54" t="s">
        <v>255</v>
      </c>
      <c r="C112" s="38" t="s">
        <v>41</v>
      </c>
      <c r="D112" s="86">
        <v>62</v>
      </c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1.25" customHeight="1">
      <c r="A113" s="82" t="s">
        <v>256</v>
      </c>
      <c r="B113" s="54" t="s">
        <v>257</v>
      </c>
      <c r="C113" s="38" t="s">
        <v>41</v>
      </c>
      <c r="D113" s="86">
        <v>50</v>
      </c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1.25" customHeight="1">
      <c r="A114" s="82" t="s">
        <v>258</v>
      </c>
      <c r="B114" s="54" t="s">
        <v>259</v>
      </c>
      <c r="C114" s="38" t="s">
        <v>41</v>
      </c>
      <c r="D114" s="86">
        <v>53.9</v>
      </c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1.25" customHeight="1">
      <c r="A115" s="82" t="s">
        <v>260</v>
      </c>
      <c r="B115" s="54" t="s">
        <v>261</v>
      </c>
      <c r="C115" s="38" t="s">
        <v>41</v>
      </c>
      <c r="D115" s="86">
        <v>53.9</v>
      </c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1.25" customHeight="1">
      <c r="A116" s="82" t="s">
        <v>262</v>
      </c>
      <c r="B116" s="54" t="s">
        <v>263</v>
      </c>
      <c r="C116" s="38" t="s">
        <v>41</v>
      </c>
      <c r="D116" s="86">
        <v>53.9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1.25" customHeight="1">
      <c r="A117" s="82" t="s">
        <v>264</v>
      </c>
      <c r="B117" s="54" t="s">
        <v>265</v>
      </c>
      <c r="C117" s="38" t="s">
        <v>41</v>
      </c>
      <c r="D117" s="86">
        <v>44</v>
      </c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1.25" customHeight="1">
      <c r="A118" s="82" t="s">
        <v>266</v>
      </c>
      <c r="B118" s="54" t="s">
        <v>267</v>
      </c>
      <c r="C118" s="38" t="s">
        <v>41</v>
      </c>
      <c r="D118" s="87">
        <v>103.54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1.25" customHeight="1">
      <c r="A119" s="82" t="s">
        <v>268</v>
      </c>
      <c r="B119" s="54" t="s">
        <v>269</v>
      </c>
      <c r="C119" s="38" t="s">
        <v>41</v>
      </c>
      <c r="D119" s="86">
        <v>224.18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1.25" customHeight="1">
      <c r="A120" s="82" t="s">
        <v>270</v>
      </c>
      <c r="B120" s="54" t="s">
        <v>271</v>
      </c>
      <c r="C120" s="38" t="s">
        <v>41</v>
      </c>
      <c r="D120" s="85">
        <v>324.18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1.25" customHeight="1">
      <c r="A121" s="82" t="s">
        <v>272</v>
      </c>
      <c r="B121" s="54" t="s">
        <v>273</v>
      </c>
      <c r="C121" s="38" t="s">
        <v>41</v>
      </c>
      <c r="D121" s="86">
        <v>324.18</v>
      </c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1.25" customHeight="1">
      <c r="A122" s="82" t="s">
        <v>274</v>
      </c>
      <c r="B122" s="54" t="s">
        <v>275</v>
      </c>
      <c r="C122" s="38" t="s">
        <v>41</v>
      </c>
      <c r="D122" s="87">
        <v>24</v>
      </c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1.25" customHeight="1">
      <c r="A123" s="82" t="s">
        <v>276</v>
      </c>
      <c r="B123" s="54" t="s">
        <v>277</v>
      </c>
      <c r="C123" s="38" t="s">
        <v>41</v>
      </c>
      <c r="D123" s="86">
        <v>23.658000000000001</v>
      </c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1.25" customHeight="1">
      <c r="A124" s="82" t="s">
        <v>278</v>
      </c>
      <c r="B124" s="54" t="s">
        <v>279</v>
      </c>
      <c r="C124" s="38" t="s">
        <v>41</v>
      </c>
      <c r="D124" s="86">
        <v>23.658000000000001</v>
      </c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1.25" customHeight="1">
      <c r="A125" s="82" t="s">
        <v>280</v>
      </c>
      <c r="B125" s="54" t="s">
        <v>281</v>
      </c>
      <c r="C125" s="38" t="s">
        <v>41</v>
      </c>
      <c r="D125" s="85">
        <v>23.658000000000001</v>
      </c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1.25" customHeight="1">
      <c r="A126" s="82" t="s">
        <v>282</v>
      </c>
      <c r="B126" s="54" t="s">
        <v>283</v>
      </c>
      <c r="C126" s="38" t="s">
        <v>41</v>
      </c>
      <c r="D126" s="86">
        <v>23.658000000000001</v>
      </c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1.25" customHeight="1">
      <c r="A127" s="82" t="s">
        <v>284</v>
      </c>
      <c r="B127" s="54" t="s">
        <v>285</v>
      </c>
      <c r="C127" s="38" t="s">
        <v>41</v>
      </c>
      <c r="D127" s="85">
        <v>23.658000000000001</v>
      </c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1.25" customHeight="1">
      <c r="A128" s="82" t="s">
        <v>286</v>
      </c>
      <c r="B128" s="54" t="s">
        <v>287</v>
      </c>
      <c r="C128" s="38" t="s">
        <v>41</v>
      </c>
      <c r="D128" s="86">
        <v>64.266999999999996</v>
      </c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1.25" customHeight="1">
      <c r="A129" s="82" t="s">
        <v>288</v>
      </c>
      <c r="B129" s="54" t="s">
        <v>289</v>
      </c>
      <c r="C129" s="38" t="s">
        <v>41</v>
      </c>
      <c r="D129" s="86">
        <v>64.266999999999996</v>
      </c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1.25" customHeight="1">
      <c r="A130" s="82" t="s">
        <v>290</v>
      </c>
      <c r="B130" s="54" t="s">
        <v>291</v>
      </c>
      <c r="C130" s="38" t="s">
        <v>41</v>
      </c>
      <c r="D130" s="86">
        <v>20.63</v>
      </c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1.25" customHeight="1">
      <c r="A131" s="82" t="s">
        <v>292</v>
      </c>
      <c r="B131" s="54" t="s">
        <v>293</v>
      </c>
      <c r="C131" s="38" t="s">
        <v>41</v>
      </c>
      <c r="D131" s="87">
        <v>20</v>
      </c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1.25" customHeight="1">
      <c r="A132" s="82" t="s">
        <v>294</v>
      </c>
      <c r="B132" s="54" t="s">
        <v>295</v>
      </c>
      <c r="C132" s="38" t="s">
        <v>41</v>
      </c>
      <c r="D132" s="87">
        <v>62.32</v>
      </c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1.25" customHeight="1">
      <c r="A133" s="82" t="s">
        <v>296</v>
      </c>
      <c r="B133" s="55" t="s">
        <v>297</v>
      </c>
      <c r="C133" s="56" t="s">
        <v>41</v>
      </c>
      <c r="D133" s="88">
        <v>4.2549999999999999</v>
      </c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1.25" customHeight="1">
      <c r="A134" s="82" t="s">
        <v>298</v>
      </c>
      <c r="B134" s="55" t="s">
        <v>299</v>
      </c>
      <c r="C134" s="56" t="s">
        <v>41</v>
      </c>
      <c r="D134" s="88">
        <v>4.2549999999999999</v>
      </c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1.25" customHeight="1">
      <c r="A135" s="82" t="s">
        <v>300</v>
      </c>
      <c r="B135" s="55" t="s">
        <v>301</v>
      </c>
      <c r="C135" s="56" t="s">
        <v>41</v>
      </c>
      <c r="D135" s="88">
        <v>4.2549999999999999</v>
      </c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1.25" customHeight="1">
      <c r="A136" s="82" t="s">
        <v>302</v>
      </c>
      <c r="B136" s="54" t="s">
        <v>303</v>
      </c>
      <c r="C136" s="38" t="s">
        <v>41</v>
      </c>
      <c r="D136" s="85">
        <v>19</v>
      </c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1.25" customHeight="1">
      <c r="A137" s="82" t="s">
        <v>304</v>
      </c>
      <c r="B137" s="54" t="s">
        <v>305</v>
      </c>
      <c r="C137" s="38" t="s">
        <v>41</v>
      </c>
      <c r="D137" s="87">
        <v>86.625</v>
      </c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1.25" customHeight="1">
      <c r="A138" s="82" t="s">
        <v>306</v>
      </c>
      <c r="B138" s="54" t="s">
        <v>307</v>
      </c>
      <c r="C138" s="38" t="s">
        <v>41</v>
      </c>
      <c r="D138" s="86">
        <v>5.2009999999999996</v>
      </c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1.25" customHeight="1">
      <c r="A139" s="82" t="s">
        <v>308</v>
      </c>
      <c r="B139" s="54" t="s">
        <v>309</v>
      </c>
      <c r="C139" s="38" t="s">
        <v>41</v>
      </c>
      <c r="D139" s="86">
        <v>5.2009999999999996</v>
      </c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1.25" customHeight="1">
      <c r="A140" s="82" t="s">
        <v>310</v>
      </c>
      <c r="B140" s="54" t="s">
        <v>311</v>
      </c>
      <c r="C140" s="38" t="s">
        <v>41</v>
      </c>
      <c r="D140" s="86">
        <v>16</v>
      </c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1.25" customHeight="1">
      <c r="A141" s="82" t="s">
        <v>312</v>
      </c>
      <c r="B141" s="55" t="s">
        <v>313</v>
      </c>
      <c r="C141" s="56" t="s">
        <v>41</v>
      </c>
      <c r="D141" s="90">
        <v>13.395</v>
      </c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1.25" customHeight="1">
      <c r="A142" s="82" t="s">
        <v>314</v>
      </c>
      <c r="B142" s="55" t="s">
        <v>315</v>
      </c>
      <c r="C142" s="56" t="s">
        <v>41</v>
      </c>
      <c r="D142" s="89">
        <v>2.5</v>
      </c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1.25" customHeight="1">
      <c r="A143" s="82" t="s">
        <v>316</v>
      </c>
      <c r="B143" s="55" t="s">
        <v>317</v>
      </c>
      <c r="C143" s="56" t="s">
        <v>41</v>
      </c>
      <c r="D143" s="89">
        <v>10.127000000000001</v>
      </c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1.25" customHeight="1">
      <c r="A144" s="82" t="s">
        <v>318</v>
      </c>
      <c r="B144" s="54" t="s">
        <v>319</v>
      </c>
      <c r="C144" s="38" t="s">
        <v>41</v>
      </c>
      <c r="D144" s="87">
        <v>45.92</v>
      </c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1.25" customHeight="1">
      <c r="A145" s="82" t="s">
        <v>320</v>
      </c>
      <c r="B145" s="54" t="s">
        <v>321</v>
      </c>
      <c r="C145" s="38" t="s">
        <v>41</v>
      </c>
      <c r="D145" s="86">
        <v>400.39</v>
      </c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1.25" customHeight="1">
      <c r="A146" s="82" t="s">
        <v>322</v>
      </c>
      <c r="B146" s="54" t="s">
        <v>323</v>
      </c>
      <c r="C146" s="38" t="s">
        <v>41</v>
      </c>
      <c r="D146" s="86">
        <v>436.55</v>
      </c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1.25" customHeight="1">
      <c r="A147" s="82" t="s">
        <v>324</v>
      </c>
      <c r="B147" s="54" t="s">
        <v>325</v>
      </c>
      <c r="C147" s="38" t="s">
        <v>41</v>
      </c>
      <c r="D147" s="86">
        <v>90</v>
      </c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1.25" customHeight="1">
      <c r="A148" s="82" t="s">
        <v>326</v>
      </c>
      <c r="B148" s="54" t="s">
        <v>327</v>
      </c>
      <c r="C148" s="38" t="s">
        <v>41</v>
      </c>
      <c r="D148" s="86">
        <v>51.33</v>
      </c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1.25" customHeight="1">
      <c r="A149" s="82" t="s">
        <v>328</v>
      </c>
      <c r="B149" s="55" t="s">
        <v>329</v>
      </c>
      <c r="C149" s="56" t="s">
        <v>41</v>
      </c>
      <c r="D149" s="90">
        <v>14.677</v>
      </c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1.25" customHeight="1">
      <c r="A150" s="82" t="s">
        <v>330</v>
      </c>
      <c r="B150" s="54" t="s">
        <v>331</v>
      </c>
      <c r="C150" s="38" t="s">
        <v>41</v>
      </c>
      <c r="D150" s="86">
        <v>130.52000000000001</v>
      </c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1.25" customHeight="1">
      <c r="A151" s="82" t="s">
        <v>332</v>
      </c>
      <c r="B151" s="55" t="s">
        <v>333</v>
      </c>
      <c r="C151" s="56" t="s">
        <v>225</v>
      </c>
      <c r="D151" s="89">
        <v>14</v>
      </c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1.25" customHeight="1">
      <c r="A152" s="82" t="s">
        <v>334</v>
      </c>
      <c r="B152" s="55" t="s">
        <v>335</v>
      </c>
      <c r="C152" s="56" t="s">
        <v>225</v>
      </c>
      <c r="D152" s="88">
        <v>18</v>
      </c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1.25" customHeight="1">
      <c r="A153" s="82" t="s">
        <v>336</v>
      </c>
      <c r="B153" s="55" t="s">
        <v>337</v>
      </c>
      <c r="C153" s="56" t="s">
        <v>225</v>
      </c>
      <c r="D153" s="88">
        <v>31</v>
      </c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1.25" customHeight="1">
      <c r="A154" s="82" t="s">
        <v>338</v>
      </c>
      <c r="B154" s="55" t="s">
        <v>339</v>
      </c>
      <c r="C154" s="56" t="s">
        <v>225</v>
      </c>
      <c r="D154" s="89">
        <v>43.316000000000003</v>
      </c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1.25" customHeight="1">
      <c r="A155" s="82" t="s">
        <v>340</v>
      </c>
      <c r="B155" s="54" t="s">
        <v>341</v>
      </c>
      <c r="C155" s="38" t="s">
        <v>41</v>
      </c>
      <c r="D155" s="87">
        <v>17.324999999999999</v>
      </c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1.25" customHeight="1">
      <c r="A156" s="82" t="s">
        <v>342</v>
      </c>
      <c r="B156" s="54" t="s">
        <v>343</v>
      </c>
      <c r="C156" s="38" t="s">
        <v>41</v>
      </c>
      <c r="D156" s="86">
        <v>17.324999999999999</v>
      </c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1.25" customHeight="1">
      <c r="A157" s="82" t="s">
        <v>344</v>
      </c>
      <c r="B157" s="54" t="s">
        <v>345</v>
      </c>
      <c r="C157" s="38" t="s">
        <v>41</v>
      </c>
      <c r="D157" s="86">
        <v>11</v>
      </c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1.25" customHeight="1">
      <c r="A158" s="82" t="s">
        <v>346</v>
      </c>
      <c r="B158" s="54" t="s">
        <v>347</v>
      </c>
      <c r="C158" s="38" t="s">
        <v>41</v>
      </c>
      <c r="D158" s="87">
        <v>10.395</v>
      </c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1.25" customHeight="1">
      <c r="A159" s="82" t="s">
        <v>348</v>
      </c>
      <c r="B159" s="54" t="s">
        <v>349</v>
      </c>
      <c r="C159" s="38" t="s">
        <v>225</v>
      </c>
      <c r="D159" s="86">
        <v>16.863</v>
      </c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1.25" customHeight="1">
      <c r="A160" s="82" t="s">
        <v>350</v>
      </c>
      <c r="B160" s="55" t="s">
        <v>351</v>
      </c>
      <c r="C160" s="56" t="s">
        <v>41</v>
      </c>
      <c r="D160" s="89">
        <v>60.21</v>
      </c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1.25" customHeight="1">
      <c r="A161" s="82" t="s">
        <v>352</v>
      </c>
      <c r="B161" s="55" t="s">
        <v>353</v>
      </c>
      <c r="C161" s="56" t="s">
        <v>41</v>
      </c>
      <c r="D161" s="89">
        <v>27.658000000000001</v>
      </c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1.25" customHeight="1">
      <c r="A162" s="82" t="s">
        <v>354</v>
      </c>
      <c r="B162" s="54" t="s">
        <v>355</v>
      </c>
      <c r="C162" s="38" t="s">
        <v>356</v>
      </c>
      <c r="D162" s="87">
        <v>22.247</v>
      </c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1.25" customHeight="1">
      <c r="A163" s="82" t="s">
        <v>357</v>
      </c>
      <c r="B163" s="55" t="s">
        <v>358</v>
      </c>
      <c r="C163" s="56" t="s">
        <v>41</v>
      </c>
      <c r="D163" s="89">
        <v>15</v>
      </c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1.25" customHeight="1">
      <c r="A164" s="82" t="s">
        <v>359</v>
      </c>
      <c r="B164" s="54" t="s">
        <v>360</v>
      </c>
      <c r="C164" s="38" t="s">
        <v>41</v>
      </c>
      <c r="D164" s="86">
        <v>21.247</v>
      </c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1.25" customHeight="1">
      <c r="A165" s="82" t="s">
        <v>361</v>
      </c>
      <c r="B165" s="54" t="s">
        <v>362</v>
      </c>
      <c r="C165" s="38" t="s">
        <v>41</v>
      </c>
      <c r="D165" s="86">
        <v>16.247</v>
      </c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1.25" customHeight="1">
      <c r="A166" s="82" t="s">
        <v>363</v>
      </c>
      <c r="B166" s="54" t="s">
        <v>364</v>
      </c>
      <c r="C166" s="38" t="s">
        <v>41</v>
      </c>
      <c r="D166" s="86">
        <v>25.991</v>
      </c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1.25" customHeight="1">
      <c r="A167" s="82" t="s">
        <v>365</v>
      </c>
      <c r="B167" s="54" t="s">
        <v>366</v>
      </c>
      <c r="C167" s="38" t="s">
        <v>41</v>
      </c>
      <c r="D167" s="87">
        <v>26.385999999999999</v>
      </c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1.25" customHeight="1">
      <c r="A168" s="82" t="s">
        <v>367</v>
      </c>
      <c r="B168" s="54" t="s">
        <v>368</v>
      </c>
      <c r="C168" s="38" t="s">
        <v>41</v>
      </c>
      <c r="D168" s="86">
        <v>324.18</v>
      </c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1.25" customHeight="1">
      <c r="A169" s="82" t="s">
        <v>369</v>
      </c>
      <c r="B169" s="54" t="s">
        <v>370</v>
      </c>
      <c r="C169" s="38" t="s">
        <v>41</v>
      </c>
      <c r="D169" s="86">
        <v>371</v>
      </c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1.25" customHeight="1">
      <c r="A170" s="82" t="s">
        <v>371</v>
      </c>
      <c r="B170" s="54" t="s">
        <v>372</v>
      </c>
      <c r="C170" s="38" t="s">
        <v>41</v>
      </c>
      <c r="D170" s="86">
        <v>354.21</v>
      </c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1.25" customHeight="1">
      <c r="A171" s="82" t="s">
        <v>373</v>
      </c>
      <c r="B171" s="54" t="s">
        <v>374</v>
      </c>
      <c r="C171" s="38" t="s">
        <v>41</v>
      </c>
      <c r="D171" s="86">
        <v>362.48</v>
      </c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1.25" customHeight="1">
      <c r="A172" s="82" t="s">
        <v>375</v>
      </c>
      <c r="B172" s="55" t="s">
        <v>376</v>
      </c>
      <c r="C172" s="56" t="s">
        <v>225</v>
      </c>
      <c r="D172" s="88">
        <v>20.63</v>
      </c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1.25" customHeight="1">
      <c r="A173" s="82" t="s">
        <v>377</v>
      </c>
      <c r="B173" s="55" t="s">
        <v>378</v>
      </c>
      <c r="C173" s="56" t="s">
        <v>225</v>
      </c>
      <c r="D173" s="89">
        <v>14.441000000000001</v>
      </c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1.25" customHeight="1">
      <c r="A174" s="82" t="s">
        <v>379</v>
      </c>
      <c r="B174" s="55" t="s">
        <v>380</v>
      </c>
      <c r="C174" s="56" t="s">
        <v>225</v>
      </c>
      <c r="D174" s="90">
        <v>8.6660000000000004</v>
      </c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1.25" customHeight="1">
      <c r="A175" s="82" t="s">
        <v>381</v>
      </c>
      <c r="B175" s="54" t="s">
        <v>382</v>
      </c>
      <c r="C175" s="38" t="s">
        <v>225</v>
      </c>
      <c r="D175" s="87">
        <v>9.2899999999999991</v>
      </c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1.25" customHeight="1">
      <c r="A176" s="82" t="s">
        <v>383</v>
      </c>
      <c r="B176" s="55" t="s">
        <v>384</v>
      </c>
      <c r="C176" s="56" t="s">
        <v>225</v>
      </c>
      <c r="D176" s="89">
        <v>7.5030000000000001</v>
      </c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1.25" customHeight="1">
      <c r="A177" s="82" t="s">
        <v>385</v>
      </c>
      <c r="B177" s="54" t="s">
        <v>386</v>
      </c>
      <c r="C177" s="38" t="s">
        <v>225</v>
      </c>
      <c r="D177" s="85">
        <v>44</v>
      </c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1.25" customHeight="1">
      <c r="A178" s="82" t="s">
        <v>387</v>
      </c>
      <c r="B178" s="55" t="s">
        <v>388</v>
      </c>
      <c r="C178" s="56" t="s">
        <v>225</v>
      </c>
      <c r="D178" s="89">
        <v>25</v>
      </c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1.25" customHeight="1">
      <c r="A179" s="82" t="s">
        <v>389</v>
      </c>
      <c r="B179" s="55" t="s">
        <v>390</v>
      </c>
      <c r="C179" s="56" t="s">
        <v>41</v>
      </c>
      <c r="D179" s="90">
        <v>324.18</v>
      </c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1.25" customHeight="1">
      <c r="A180" s="82" t="s">
        <v>391</v>
      </c>
      <c r="B180" s="55" t="s">
        <v>392</v>
      </c>
      <c r="C180" s="56" t="s">
        <v>41</v>
      </c>
      <c r="D180" s="89">
        <v>164</v>
      </c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1.25" customHeight="1">
      <c r="A181" s="82" t="s">
        <v>393</v>
      </c>
      <c r="B181" s="55" t="s">
        <v>394</v>
      </c>
      <c r="C181" s="56" t="s">
        <v>41</v>
      </c>
      <c r="D181" s="89">
        <v>159.35</v>
      </c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1.25" customHeight="1">
      <c r="A182" s="82" t="s">
        <v>395</v>
      </c>
      <c r="B182" s="54" t="s">
        <v>396</v>
      </c>
      <c r="C182" s="38" t="s">
        <v>41</v>
      </c>
      <c r="D182" s="87">
        <v>14.305</v>
      </c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1.25" customHeight="1">
      <c r="A183" s="82" t="s">
        <v>397</v>
      </c>
      <c r="B183" s="54" t="s">
        <v>398</v>
      </c>
      <c r="C183" s="38" t="s">
        <v>41</v>
      </c>
      <c r="D183" s="86">
        <v>164</v>
      </c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1.25" customHeight="1">
      <c r="A184" s="82" t="s">
        <v>399</v>
      </c>
      <c r="B184" s="55" t="s">
        <v>400</v>
      </c>
      <c r="C184" s="56" t="s">
        <v>41</v>
      </c>
      <c r="D184" s="89">
        <v>230.58</v>
      </c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1.25" customHeight="1">
      <c r="A185" s="82" t="s">
        <v>401</v>
      </c>
      <c r="B185" s="54" t="s">
        <v>402</v>
      </c>
      <c r="C185" s="38" t="s">
        <v>356</v>
      </c>
      <c r="D185" s="85">
        <v>136.99</v>
      </c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1.25" customHeight="1">
      <c r="A186" s="82" t="s">
        <v>403</v>
      </c>
      <c r="B186" s="54" t="s">
        <v>404</v>
      </c>
      <c r="C186" s="38" t="s">
        <v>225</v>
      </c>
      <c r="D186" s="85">
        <v>60</v>
      </c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1.25" customHeight="1">
      <c r="A187" s="82" t="s">
        <v>405</v>
      </c>
      <c r="B187" s="54" t="s">
        <v>406</v>
      </c>
      <c r="C187" s="38" t="s">
        <v>41</v>
      </c>
      <c r="D187" s="87">
        <v>36</v>
      </c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1.25" customHeight="1">
      <c r="A188" s="82" t="s">
        <v>407</v>
      </c>
      <c r="B188" s="55" t="s">
        <v>408</v>
      </c>
      <c r="C188" s="56" t="s">
        <v>41</v>
      </c>
      <c r="D188" s="89">
        <v>30</v>
      </c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1.25" customHeight="1">
      <c r="A189" s="82" t="s">
        <v>409</v>
      </c>
      <c r="B189" s="55" t="s">
        <v>410</v>
      </c>
      <c r="C189" s="56" t="s">
        <v>41</v>
      </c>
      <c r="D189" s="88">
        <v>98</v>
      </c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1.25" customHeight="1">
      <c r="A190" s="82" t="s">
        <v>411</v>
      </c>
      <c r="B190" s="55" t="s">
        <v>412</v>
      </c>
      <c r="C190" s="56" t="s">
        <v>41</v>
      </c>
      <c r="D190" s="88">
        <v>135.941</v>
      </c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1.25" customHeight="1">
      <c r="A191" s="82" t="s">
        <v>413</v>
      </c>
      <c r="B191" s="55" t="s">
        <v>414</v>
      </c>
      <c r="C191" s="56" t="s">
        <v>41</v>
      </c>
      <c r="D191" s="89">
        <v>90.958699999999993</v>
      </c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1.25" customHeight="1">
      <c r="A192" s="82" t="s">
        <v>415</v>
      </c>
      <c r="B192" s="54" t="s">
        <v>416</v>
      </c>
      <c r="C192" s="38" t="s">
        <v>356</v>
      </c>
      <c r="D192" s="87">
        <v>120</v>
      </c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1.25" customHeight="1">
      <c r="A193" s="82" t="s">
        <v>417</v>
      </c>
      <c r="B193" s="54" t="s">
        <v>418</v>
      </c>
      <c r="C193" s="38" t="s">
        <v>356</v>
      </c>
      <c r="D193" s="87">
        <v>237.36</v>
      </c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1.25" customHeight="1">
      <c r="A194" s="82" t="s">
        <v>419</v>
      </c>
      <c r="B194" s="54" t="s">
        <v>420</v>
      </c>
      <c r="C194" s="38" t="s">
        <v>41</v>
      </c>
      <c r="D194" s="85">
        <v>237.36</v>
      </c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1.25" customHeight="1">
      <c r="A195" s="82" t="s">
        <v>421</v>
      </c>
      <c r="B195" s="55" t="s">
        <v>422</v>
      </c>
      <c r="C195" s="56" t="s">
        <v>41</v>
      </c>
      <c r="D195" s="89">
        <v>44</v>
      </c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1.25" customHeight="1">
      <c r="A196" s="82" t="s">
        <v>423</v>
      </c>
      <c r="B196" s="54" t="s">
        <v>424</v>
      </c>
      <c r="C196" s="38" t="s">
        <v>215</v>
      </c>
      <c r="D196" s="86">
        <v>149.35</v>
      </c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1.25" customHeight="1">
      <c r="A197" s="82" t="s">
        <v>425</v>
      </c>
      <c r="B197" s="55" t="s">
        <v>426</v>
      </c>
      <c r="C197" s="56" t="s">
        <v>41</v>
      </c>
      <c r="D197" s="89">
        <v>6.5010000000000003</v>
      </c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1.25" customHeight="1">
      <c r="A198" s="82" t="s">
        <v>427</v>
      </c>
      <c r="B198" s="54" t="s">
        <v>428</v>
      </c>
      <c r="C198" s="38" t="s">
        <v>356</v>
      </c>
      <c r="D198" s="85">
        <v>113.6947</v>
      </c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1.25" customHeight="1">
      <c r="A199" s="82" t="s">
        <v>429</v>
      </c>
      <c r="B199" s="54" t="s">
        <v>430</v>
      </c>
      <c r="C199" s="38" t="s">
        <v>356</v>
      </c>
      <c r="D199" s="85">
        <v>151.59620000000001</v>
      </c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1.25" customHeight="1">
      <c r="A200" s="82" t="s">
        <v>431</v>
      </c>
      <c r="B200" s="55" t="s">
        <v>432</v>
      </c>
      <c r="C200" s="56" t="s">
        <v>41</v>
      </c>
      <c r="D200" s="89">
        <v>18</v>
      </c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1.25" customHeight="1">
      <c r="A201" s="82" t="s">
        <v>433</v>
      </c>
      <c r="B201" s="55" t="s">
        <v>434</v>
      </c>
      <c r="C201" s="56" t="s">
        <v>41</v>
      </c>
      <c r="D201" s="89">
        <v>15</v>
      </c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1.25" customHeight="1">
      <c r="A202" s="82" t="s">
        <v>435</v>
      </c>
      <c r="B202" s="54" t="s">
        <v>436</v>
      </c>
      <c r="C202" s="38" t="s">
        <v>41</v>
      </c>
      <c r="D202" s="87">
        <v>458</v>
      </c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1.25" customHeight="1">
      <c r="A203" s="82" t="s">
        <v>437</v>
      </c>
      <c r="B203" s="54" t="s">
        <v>438</v>
      </c>
      <c r="C203" s="38" t="s">
        <v>41</v>
      </c>
      <c r="D203" s="87">
        <v>915.42</v>
      </c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1.25" customHeight="1">
      <c r="A204" s="82" t="s">
        <v>439</v>
      </c>
      <c r="B204" s="54" t="s">
        <v>440</v>
      </c>
      <c r="C204" s="38" t="s">
        <v>41</v>
      </c>
      <c r="D204" s="87">
        <v>1376</v>
      </c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1.25" customHeight="1">
      <c r="A205" s="82" t="s">
        <v>441</v>
      </c>
      <c r="B205" s="54" t="s">
        <v>442</v>
      </c>
      <c r="C205" s="38" t="s">
        <v>41</v>
      </c>
      <c r="D205" s="87">
        <v>14</v>
      </c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1.25" customHeight="1">
      <c r="A206" s="82" t="s">
        <v>443</v>
      </c>
      <c r="B206" s="54" t="s">
        <v>444</v>
      </c>
      <c r="C206" s="38" t="s">
        <v>41</v>
      </c>
      <c r="D206" s="86">
        <v>2</v>
      </c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1.25" customHeight="1">
      <c r="A207" s="82" t="s">
        <v>445</v>
      </c>
      <c r="B207" s="54" t="s">
        <v>446</v>
      </c>
      <c r="C207" s="38" t="s">
        <v>41</v>
      </c>
      <c r="D207" s="86">
        <v>2</v>
      </c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1.25" customHeight="1">
      <c r="A208" s="82" t="s">
        <v>447</v>
      </c>
      <c r="B208" s="54" t="s">
        <v>448</v>
      </c>
      <c r="C208" s="38" t="s">
        <v>41</v>
      </c>
      <c r="D208" s="85">
        <v>2</v>
      </c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1.25" customHeight="1">
      <c r="A209" s="82" t="s">
        <v>449</v>
      </c>
      <c r="B209" s="55" t="s">
        <v>450</v>
      </c>
      <c r="C209" s="56" t="s">
        <v>41</v>
      </c>
      <c r="D209" s="89">
        <v>4</v>
      </c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1.25" customHeight="1">
      <c r="A210" s="82" t="s">
        <v>451</v>
      </c>
      <c r="B210" s="55" t="s">
        <v>452</v>
      </c>
      <c r="C210" s="56" t="s">
        <v>41</v>
      </c>
      <c r="D210" s="89">
        <v>2</v>
      </c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1.25" customHeight="1">
      <c r="A211" s="82" t="s">
        <v>453</v>
      </c>
      <c r="B211" s="54" t="s">
        <v>454</v>
      </c>
      <c r="C211" s="38" t="s">
        <v>41</v>
      </c>
      <c r="D211" s="87">
        <v>2</v>
      </c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1.25" customHeight="1">
      <c r="A212" s="82" t="s">
        <v>455</v>
      </c>
      <c r="B212" s="54" t="s">
        <v>456</v>
      </c>
      <c r="C212" s="38" t="s">
        <v>41</v>
      </c>
      <c r="D212" s="87">
        <v>1</v>
      </c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1.25" customHeight="1">
      <c r="A213" s="82" t="s">
        <v>457</v>
      </c>
      <c r="B213" s="54" t="s">
        <v>458</v>
      </c>
      <c r="C213" s="38" t="s">
        <v>41</v>
      </c>
      <c r="D213" s="87">
        <v>3</v>
      </c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1.25" customHeight="1">
      <c r="A214" s="82" t="s">
        <v>459</v>
      </c>
      <c r="B214" s="54" t="s">
        <v>460</v>
      </c>
      <c r="C214" s="38" t="s">
        <v>41</v>
      </c>
      <c r="D214" s="86">
        <v>4</v>
      </c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1.25" customHeight="1">
      <c r="A215" s="82" t="s">
        <v>461</v>
      </c>
      <c r="B215" s="54" t="s">
        <v>462</v>
      </c>
      <c r="C215" s="38" t="s">
        <v>41</v>
      </c>
      <c r="D215" s="87">
        <v>1</v>
      </c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1.25" customHeight="1">
      <c r="A216" s="82" t="s">
        <v>463</v>
      </c>
      <c r="B216" s="54" t="s">
        <v>464</v>
      </c>
      <c r="C216" s="38" t="s">
        <v>41</v>
      </c>
      <c r="D216" s="86">
        <v>4</v>
      </c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1.25" customHeight="1">
      <c r="A217" s="82" t="s">
        <v>465</v>
      </c>
      <c r="B217" s="55" t="s">
        <v>466</v>
      </c>
      <c r="C217" s="56" t="s">
        <v>41</v>
      </c>
      <c r="D217" s="89">
        <v>2098</v>
      </c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1.25" customHeight="1">
      <c r="A218" s="82" t="s">
        <v>30</v>
      </c>
      <c r="B218" s="54" t="s">
        <v>467</v>
      </c>
      <c r="C218" s="38" t="s">
        <v>41</v>
      </c>
      <c r="D218" s="87">
        <v>1033</v>
      </c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1.25" customHeight="1">
      <c r="A219" s="82" t="s">
        <v>468</v>
      </c>
      <c r="B219" s="54" t="s">
        <v>469</v>
      </c>
      <c r="C219" s="38" t="s">
        <v>41</v>
      </c>
      <c r="D219" s="86">
        <v>10.25</v>
      </c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1.25" customHeight="1">
      <c r="A220" s="82" t="s">
        <v>470</v>
      </c>
      <c r="B220" s="54" t="s">
        <v>471</v>
      </c>
      <c r="C220" s="38" t="s">
        <v>41</v>
      </c>
      <c r="D220" s="87">
        <v>4</v>
      </c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1.25" customHeight="1">
      <c r="A221" s="82" t="s">
        <v>472</v>
      </c>
      <c r="B221" s="54" t="s">
        <v>473</v>
      </c>
      <c r="C221" s="38" t="s">
        <v>41</v>
      </c>
      <c r="D221" s="86">
        <v>6.82</v>
      </c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1.25" customHeight="1">
      <c r="A222" s="82" t="s">
        <v>474</v>
      </c>
      <c r="B222" s="54" t="s">
        <v>475</v>
      </c>
      <c r="C222" s="38" t="s">
        <v>41</v>
      </c>
      <c r="D222" s="86">
        <v>10.25</v>
      </c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1.25" customHeight="1">
      <c r="A223" s="82" t="s">
        <v>476</v>
      </c>
      <c r="B223" s="54" t="s">
        <v>477</v>
      </c>
      <c r="C223" s="38" t="s">
        <v>41</v>
      </c>
      <c r="D223" s="86">
        <v>3</v>
      </c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1.25" customHeight="1">
      <c r="A224" s="82" t="s">
        <v>478</v>
      </c>
      <c r="B224" s="54" t="s">
        <v>479</v>
      </c>
      <c r="C224" s="38" t="s">
        <v>41</v>
      </c>
      <c r="D224" s="86">
        <v>6</v>
      </c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1.25" customHeight="1">
      <c r="A225" s="82" t="s">
        <v>480</v>
      </c>
      <c r="B225" s="54" t="s">
        <v>481</v>
      </c>
      <c r="C225" s="38" t="s">
        <v>41</v>
      </c>
      <c r="D225" s="86">
        <v>11</v>
      </c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1.25" customHeight="1">
      <c r="A226" s="82" t="s">
        <v>482</v>
      </c>
      <c r="B226" s="54" t="s">
        <v>483</v>
      </c>
      <c r="C226" s="38" t="s">
        <v>41</v>
      </c>
      <c r="D226" s="86">
        <v>6.46</v>
      </c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1.25" customHeight="1">
      <c r="A227" s="82" t="s">
        <v>484</v>
      </c>
      <c r="B227" s="54" t="s">
        <v>485</v>
      </c>
      <c r="C227" s="38" t="s">
        <v>41</v>
      </c>
      <c r="D227" s="85">
        <v>7.38</v>
      </c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1.25" customHeight="1">
      <c r="A228" s="82" t="s">
        <v>486</v>
      </c>
      <c r="B228" s="54" t="s">
        <v>487</v>
      </c>
      <c r="C228" s="38" t="s">
        <v>41</v>
      </c>
      <c r="D228" s="86">
        <v>119.42</v>
      </c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1.25" customHeight="1">
      <c r="A229" s="82" t="s">
        <v>488</v>
      </c>
      <c r="B229" s="54" t="s">
        <v>489</v>
      </c>
      <c r="C229" s="38" t="s">
        <v>41</v>
      </c>
      <c r="D229" s="85">
        <v>2470.2199999999998</v>
      </c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1.25" customHeight="1">
      <c r="A230" s="82" t="s">
        <v>490</v>
      </c>
      <c r="B230" s="54" t="s">
        <v>491</v>
      </c>
      <c r="C230" s="38" t="s">
        <v>41</v>
      </c>
      <c r="D230" s="85">
        <v>3841.79</v>
      </c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1.25" customHeight="1">
      <c r="A231" s="82" t="s">
        <v>492</v>
      </c>
      <c r="B231" s="54" t="s">
        <v>493</v>
      </c>
      <c r="C231" s="38" t="s">
        <v>41</v>
      </c>
      <c r="D231" s="86">
        <v>119.4</v>
      </c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1.25" customHeight="1">
      <c r="A232" s="82" t="s">
        <v>494</v>
      </c>
      <c r="B232" s="54" t="s">
        <v>495</v>
      </c>
      <c r="C232" s="38" t="s">
        <v>41</v>
      </c>
      <c r="D232" s="87">
        <v>122.5</v>
      </c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1.25" customHeight="1">
      <c r="A233" s="82" t="s">
        <v>496</v>
      </c>
      <c r="B233" s="54" t="s">
        <v>497</v>
      </c>
      <c r="C233" s="38" t="s">
        <v>41</v>
      </c>
      <c r="D233" s="87">
        <v>39.5</v>
      </c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1.25" customHeight="1">
      <c r="A234" s="82" t="s">
        <v>498</v>
      </c>
      <c r="B234" s="54" t="s">
        <v>499</v>
      </c>
      <c r="C234" s="38" t="s">
        <v>41</v>
      </c>
      <c r="D234" s="86">
        <v>4.7</v>
      </c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1.25" customHeight="1">
      <c r="A235" s="82" t="s">
        <v>500</v>
      </c>
      <c r="B235" s="54" t="s">
        <v>501</v>
      </c>
      <c r="C235" s="38" t="s">
        <v>41</v>
      </c>
      <c r="D235" s="86">
        <v>30</v>
      </c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1.25" customHeight="1">
      <c r="A236" s="82" t="s">
        <v>502</v>
      </c>
      <c r="B236" s="54" t="s">
        <v>503</v>
      </c>
      <c r="C236" s="38" t="s">
        <v>41</v>
      </c>
      <c r="D236" s="86">
        <v>12</v>
      </c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1.25" customHeight="1">
      <c r="A237" s="82" t="s">
        <v>504</v>
      </c>
      <c r="B237" s="54" t="s">
        <v>505</v>
      </c>
      <c r="C237" s="38" t="s">
        <v>41</v>
      </c>
      <c r="D237" s="87">
        <v>12</v>
      </c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1.25" customHeight="1">
      <c r="A238" s="82" t="s">
        <v>506</v>
      </c>
      <c r="B238" s="54" t="s">
        <v>507</v>
      </c>
      <c r="C238" s="38" t="s">
        <v>41</v>
      </c>
      <c r="D238" s="86">
        <v>25.95</v>
      </c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1.25" customHeight="1">
      <c r="A239" s="82" t="s">
        <v>508</v>
      </c>
      <c r="B239" s="54" t="s">
        <v>509</v>
      </c>
      <c r="C239" s="38" t="s">
        <v>41</v>
      </c>
      <c r="D239" s="85">
        <v>37.83</v>
      </c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1.25" customHeight="1">
      <c r="A240" s="82" t="s">
        <v>510</v>
      </c>
      <c r="B240" s="54" t="s">
        <v>511</v>
      </c>
      <c r="C240" s="38" t="s">
        <v>41</v>
      </c>
      <c r="D240" s="87">
        <v>29</v>
      </c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1.25" customHeight="1">
      <c r="A241" s="82" t="s">
        <v>512</v>
      </c>
      <c r="B241" s="55" t="s">
        <v>513</v>
      </c>
      <c r="C241" s="56" t="s">
        <v>41</v>
      </c>
      <c r="D241" s="89">
        <v>11</v>
      </c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1.25" customHeight="1">
      <c r="A242" s="82" t="s">
        <v>514</v>
      </c>
      <c r="B242" s="55" t="s">
        <v>515</v>
      </c>
      <c r="C242" s="56" t="s">
        <v>41</v>
      </c>
      <c r="D242" s="90">
        <v>4</v>
      </c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1.25" customHeight="1">
      <c r="A243" s="82" t="s">
        <v>516</v>
      </c>
      <c r="B243" s="55" t="s">
        <v>517</v>
      </c>
      <c r="C243" s="56" t="s">
        <v>41</v>
      </c>
      <c r="D243" s="90">
        <v>4</v>
      </c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1.25" customHeight="1">
      <c r="A244" s="82" t="s">
        <v>518</v>
      </c>
      <c r="B244" s="54" t="s">
        <v>519</v>
      </c>
      <c r="C244" s="38" t="s">
        <v>41</v>
      </c>
      <c r="D244" s="87">
        <v>4.8</v>
      </c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1.25" customHeight="1">
      <c r="A245" s="82" t="s">
        <v>520</v>
      </c>
      <c r="B245" s="54" t="s">
        <v>521</v>
      </c>
      <c r="C245" s="38" t="s">
        <v>522</v>
      </c>
      <c r="D245" s="86">
        <v>3</v>
      </c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1.25" customHeight="1">
      <c r="A246" s="82" t="s">
        <v>523</v>
      </c>
      <c r="B246" s="55" t="s">
        <v>524</v>
      </c>
      <c r="C246" s="56" t="s">
        <v>225</v>
      </c>
      <c r="D246" s="89">
        <v>12.52</v>
      </c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1.25" customHeight="1">
      <c r="A247" s="82" t="s">
        <v>525</v>
      </c>
      <c r="B247" s="55" t="s">
        <v>526</v>
      </c>
      <c r="C247" s="56" t="s">
        <v>522</v>
      </c>
      <c r="D247" s="89">
        <v>13</v>
      </c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1.25" customHeight="1">
      <c r="A248" s="82" t="s">
        <v>527</v>
      </c>
      <c r="B248" s="55" t="s">
        <v>528</v>
      </c>
      <c r="C248" s="56" t="s">
        <v>522</v>
      </c>
      <c r="D248" s="89">
        <v>18</v>
      </c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1.25" customHeight="1">
      <c r="A249" s="82" t="s">
        <v>529</v>
      </c>
      <c r="B249" s="55" t="s">
        <v>530</v>
      </c>
      <c r="C249" s="56" t="s">
        <v>522</v>
      </c>
      <c r="D249" s="89">
        <v>78</v>
      </c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1.25" customHeight="1">
      <c r="A250" s="82" t="s">
        <v>31</v>
      </c>
      <c r="B250" s="55" t="s">
        <v>531</v>
      </c>
      <c r="C250" s="56" t="s">
        <v>522</v>
      </c>
      <c r="D250" s="89">
        <v>83</v>
      </c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1.25" customHeight="1">
      <c r="A251" s="82" t="s">
        <v>532</v>
      </c>
      <c r="B251" s="55" t="s">
        <v>533</v>
      </c>
      <c r="C251" s="56" t="s">
        <v>522</v>
      </c>
      <c r="D251" s="89">
        <v>104.86</v>
      </c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1.25" customHeight="1">
      <c r="A252" s="82" t="s">
        <v>534</v>
      </c>
      <c r="B252" s="55" t="s">
        <v>535</v>
      </c>
      <c r="C252" s="56" t="s">
        <v>522</v>
      </c>
      <c r="D252" s="88">
        <v>136</v>
      </c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1.25" customHeight="1">
      <c r="A253" s="82" t="s">
        <v>536</v>
      </c>
      <c r="B253" s="55" t="s">
        <v>537</v>
      </c>
      <c r="C253" s="56" t="s">
        <v>522</v>
      </c>
      <c r="D253" s="89">
        <v>6</v>
      </c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1.25" customHeight="1">
      <c r="A254" s="82" t="s">
        <v>538</v>
      </c>
      <c r="B254" s="55" t="s">
        <v>539</v>
      </c>
      <c r="C254" s="56" t="s">
        <v>522</v>
      </c>
      <c r="D254" s="89">
        <v>41.72</v>
      </c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1.25" customHeight="1">
      <c r="A255" s="82" t="s">
        <v>540</v>
      </c>
      <c r="B255" s="55" t="s">
        <v>541</v>
      </c>
      <c r="C255" s="56" t="s">
        <v>522</v>
      </c>
      <c r="D255" s="88">
        <v>56</v>
      </c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1.25" customHeight="1">
      <c r="A256" s="82" t="s">
        <v>542</v>
      </c>
      <c r="B256" s="55" t="s">
        <v>543</v>
      </c>
      <c r="C256" s="56" t="s">
        <v>225</v>
      </c>
      <c r="D256" s="89">
        <v>1.53</v>
      </c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1.25" customHeight="1">
      <c r="A257" s="82" t="s">
        <v>544</v>
      </c>
      <c r="B257" s="55" t="s">
        <v>545</v>
      </c>
      <c r="C257" s="56" t="s">
        <v>522</v>
      </c>
      <c r="D257" s="89">
        <v>10.11</v>
      </c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1.25" customHeight="1">
      <c r="A258" s="82" t="s">
        <v>546</v>
      </c>
      <c r="B258" s="55" t="s">
        <v>547</v>
      </c>
      <c r="C258" s="56" t="s">
        <v>522</v>
      </c>
      <c r="D258" s="89">
        <v>1.48</v>
      </c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1.25" customHeight="1">
      <c r="A259" s="82" t="s">
        <v>548</v>
      </c>
      <c r="B259" s="55" t="s">
        <v>549</v>
      </c>
      <c r="C259" s="56" t="s">
        <v>522</v>
      </c>
      <c r="D259" s="89">
        <v>15.43</v>
      </c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1.25" customHeight="1">
      <c r="A260" s="82" t="s">
        <v>550</v>
      </c>
      <c r="B260" s="55" t="s">
        <v>551</v>
      </c>
      <c r="C260" s="56" t="s">
        <v>522</v>
      </c>
      <c r="D260" s="89">
        <v>21.84</v>
      </c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1.25" customHeight="1">
      <c r="A261" s="82" t="s">
        <v>552</v>
      </c>
      <c r="B261" s="55" t="s">
        <v>553</v>
      </c>
      <c r="C261" s="56" t="s">
        <v>522</v>
      </c>
      <c r="D261" s="89">
        <v>3.79</v>
      </c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1.25" customHeight="1">
      <c r="A262" s="82" t="s">
        <v>554</v>
      </c>
      <c r="B262" s="55" t="s">
        <v>555</v>
      </c>
      <c r="C262" s="56" t="s">
        <v>522</v>
      </c>
      <c r="D262" s="89">
        <v>29.26</v>
      </c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1.25" customHeight="1">
      <c r="A263" s="82" t="s">
        <v>556</v>
      </c>
      <c r="B263" s="55" t="s">
        <v>557</v>
      </c>
      <c r="C263" s="56" t="s">
        <v>522</v>
      </c>
      <c r="D263" s="89">
        <v>5.18</v>
      </c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1.25" customHeight="1">
      <c r="A264" s="82" t="s">
        <v>558</v>
      </c>
      <c r="B264" s="55" t="s">
        <v>559</v>
      </c>
      <c r="C264" s="56" t="s">
        <v>522</v>
      </c>
      <c r="D264" s="89">
        <v>5.18</v>
      </c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1.25" customHeight="1">
      <c r="A265" s="82" t="s">
        <v>560</v>
      </c>
      <c r="B265" s="55" t="s">
        <v>561</v>
      </c>
      <c r="C265" s="56" t="s">
        <v>522</v>
      </c>
      <c r="D265" s="89">
        <v>5.2</v>
      </c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1.25" customHeight="1">
      <c r="A266" s="82" t="s">
        <v>562</v>
      </c>
      <c r="B266" s="55" t="s">
        <v>563</v>
      </c>
      <c r="C266" s="56" t="s">
        <v>522</v>
      </c>
      <c r="D266" s="90">
        <v>65.8</v>
      </c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1.25" customHeight="1">
      <c r="A267" s="82" t="s">
        <v>564</v>
      </c>
      <c r="B267" s="55" t="s">
        <v>565</v>
      </c>
      <c r="C267" s="56" t="s">
        <v>522</v>
      </c>
      <c r="D267" s="89">
        <v>8</v>
      </c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1.25" customHeight="1">
      <c r="A268" s="82" t="s">
        <v>566</v>
      </c>
      <c r="B268" s="55" t="s">
        <v>567</v>
      </c>
      <c r="C268" s="56" t="s">
        <v>522</v>
      </c>
      <c r="D268" s="90">
        <v>1.6</v>
      </c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1.25" customHeight="1">
      <c r="A269" s="82" t="s">
        <v>568</v>
      </c>
      <c r="B269" s="55" t="s">
        <v>569</v>
      </c>
      <c r="C269" s="56" t="s">
        <v>522</v>
      </c>
      <c r="D269" s="89">
        <v>14</v>
      </c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1.25" customHeight="1">
      <c r="A270" s="82" t="s">
        <v>570</v>
      </c>
      <c r="B270" s="55" t="s">
        <v>571</v>
      </c>
      <c r="C270" s="56" t="s">
        <v>522</v>
      </c>
      <c r="D270" s="89">
        <v>19</v>
      </c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1.25" customHeight="1">
      <c r="A271" s="82" t="s">
        <v>572</v>
      </c>
      <c r="B271" s="55" t="s">
        <v>573</v>
      </c>
      <c r="C271" s="56" t="s">
        <v>522</v>
      </c>
      <c r="D271" s="89">
        <v>3</v>
      </c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1.25" customHeight="1">
      <c r="A272" s="82" t="s">
        <v>574</v>
      </c>
      <c r="B272" s="55" t="s">
        <v>575</v>
      </c>
      <c r="C272" s="56" t="s">
        <v>522</v>
      </c>
      <c r="D272" s="89">
        <v>4</v>
      </c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1.25" customHeight="1">
      <c r="A273" s="82" t="s">
        <v>576</v>
      </c>
      <c r="B273" s="55" t="s">
        <v>577</v>
      </c>
      <c r="C273" s="56" t="s">
        <v>522</v>
      </c>
      <c r="D273" s="89">
        <v>39.5</v>
      </c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1.25" customHeight="1">
      <c r="A274" s="82" t="s">
        <v>578</v>
      </c>
      <c r="B274" s="55" t="s">
        <v>579</v>
      </c>
      <c r="C274" s="56" t="s">
        <v>522</v>
      </c>
      <c r="D274" s="89">
        <v>54.5</v>
      </c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1.25" customHeight="1">
      <c r="A275" s="82" t="s">
        <v>580</v>
      </c>
      <c r="B275" s="55" t="s">
        <v>581</v>
      </c>
      <c r="C275" s="56" t="s">
        <v>522</v>
      </c>
      <c r="D275" s="88">
        <v>94</v>
      </c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1.25" customHeight="1">
      <c r="A276" s="82" t="s">
        <v>582</v>
      </c>
      <c r="B276" s="55" t="s">
        <v>583</v>
      </c>
      <c r="C276" s="56" t="s">
        <v>522</v>
      </c>
      <c r="D276" s="89">
        <v>52.2</v>
      </c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1.25" customHeight="1">
      <c r="A277" s="82" t="s">
        <v>584</v>
      </c>
      <c r="B277" s="55" t="s">
        <v>585</v>
      </c>
      <c r="C277" s="56" t="s">
        <v>522</v>
      </c>
      <c r="D277" s="89">
        <v>73.89</v>
      </c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1.25" customHeight="1">
      <c r="A278" s="82" t="s">
        <v>586</v>
      </c>
      <c r="B278" s="55" t="s">
        <v>587</v>
      </c>
      <c r="C278" s="56" t="s">
        <v>522</v>
      </c>
      <c r="D278" s="88">
        <v>92</v>
      </c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1.25" customHeight="1">
      <c r="A279" s="82" t="s">
        <v>588</v>
      </c>
      <c r="B279" s="55" t="s">
        <v>589</v>
      </c>
      <c r="C279" s="56" t="s">
        <v>522</v>
      </c>
      <c r="D279" s="88">
        <v>8</v>
      </c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1.25" customHeight="1">
      <c r="A280" s="82" t="s">
        <v>590</v>
      </c>
      <c r="B280" s="55" t="s">
        <v>591</v>
      </c>
      <c r="C280" s="56" t="s">
        <v>522</v>
      </c>
      <c r="D280" s="89">
        <v>10</v>
      </c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1.25" customHeight="1">
      <c r="A281" s="82" t="s">
        <v>592</v>
      </c>
      <c r="B281" s="55" t="s">
        <v>593</v>
      </c>
      <c r="C281" s="56" t="s">
        <v>522</v>
      </c>
      <c r="D281" s="88">
        <v>25.32</v>
      </c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1.25" customHeight="1">
      <c r="A282" s="82" t="s">
        <v>594</v>
      </c>
      <c r="B282" s="54" t="s">
        <v>595</v>
      </c>
      <c r="C282" s="38" t="s">
        <v>41</v>
      </c>
      <c r="D282" s="86">
        <v>27.1</v>
      </c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1.25" customHeight="1">
      <c r="A283" s="82" t="s">
        <v>596</v>
      </c>
      <c r="B283" s="54" t="s">
        <v>597</v>
      </c>
      <c r="C283" s="38" t="s">
        <v>41</v>
      </c>
      <c r="D283" s="86">
        <v>16.03</v>
      </c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1.25" customHeight="1">
      <c r="A284" s="82" t="s">
        <v>598</v>
      </c>
      <c r="B284" s="54" t="s">
        <v>599</v>
      </c>
      <c r="C284" s="38" t="s">
        <v>41</v>
      </c>
      <c r="D284" s="86">
        <v>18.989999999999998</v>
      </c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1.25" customHeight="1">
      <c r="A285" s="82" t="s">
        <v>600</v>
      </c>
      <c r="B285" s="54" t="s">
        <v>601</v>
      </c>
      <c r="C285" s="38" t="s">
        <v>41</v>
      </c>
      <c r="D285" s="86">
        <v>14.97</v>
      </c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1.25" customHeight="1">
      <c r="A286" s="82" t="s">
        <v>602</v>
      </c>
      <c r="B286" s="55" t="s">
        <v>603</v>
      </c>
      <c r="C286" s="56" t="s">
        <v>41</v>
      </c>
      <c r="D286" s="89">
        <v>12.86</v>
      </c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1.25" customHeight="1">
      <c r="A287" s="82" t="s">
        <v>604</v>
      </c>
      <c r="B287" s="54" t="s">
        <v>605</v>
      </c>
      <c r="C287" s="38" t="s">
        <v>41</v>
      </c>
      <c r="D287" s="86">
        <v>37</v>
      </c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1.25" customHeight="1">
      <c r="A288" s="82" t="s">
        <v>606</v>
      </c>
      <c r="B288" s="54" t="s">
        <v>607</v>
      </c>
      <c r="C288" s="38" t="s">
        <v>41</v>
      </c>
      <c r="D288" s="86">
        <v>19</v>
      </c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1.25" customHeight="1">
      <c r="A289" s="82" t="s">
        <v>608</v>
      </c>
      <c r="B289" s="54" t="s">
        <v>609</v>
      </c>
      <c r="C289" s="38" t="s">
        <v>41</v>
      </c>
      <c r="D289" s="86">
        <v>8.6999999999999993</v>
      </c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1.25" customHeight="1">
      <c r="A290" s="82" t="s">
        <v>610</v>
      </c>
      <c r="B290" s="54" t="s">
        <v>611</v>
      </c>
      <c r="C290" s="38" t="s">
        <v>41</v>
      </c>
      <c r="D290" s="86">
        <v>11</v>
      </c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1.25" customHeight="1">
      <c r="A291" s="82" t="s">
        <v>612</v>
      </c>
      <c r="B291" s="54" t="s">
        <v>613</v>
      </c>
      <c r="C291" s="38" t="s">
        <v>41</v>
      </c>
      <c r="D291" s="86">
        <v>10</v>
      </c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1.25" customHeight="1">
      <c r="A292" s="82" t="s">
        <v>614</v>
      </c>
      <c r="B292" s="54" t="s">
        <v>615</v>
      </c>
      <c r="C292" s="38" t="s">
        <v>41</v>
      </c>
      <c r="D292" s="86">
        <v>12</v>
      </c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1.25" customHeight="1">
      <c r="A293" s="82" t="s">
        <v>616</v>
      </c>
      <c r="B293" s="54" t="s">
        <v>617</v>
      </c>
      <c r="C293" s="38" t="s">
        <v>41</v>
      </c>
      <c r="D293" s="86">
        <v>13</v>
      </c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1.25" customHeight="1">
      <c r="A294" s="82" t="s">
        <v>618</v>
      </c>
      <c r="B294" s="54" t="s">
        <v>619</v>
      </c>
      <c r="C294" s="38" t="s">
        <v>41</v>
      </c>
      <c r="D294" s="86">
        <v>31.3</v>
      </c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1.25" customHeight="1">
      <c r="A295" s="82" t="s">
        <v>620</v>
      </c>
      <c r="B295" s="54" t="s">
        <v>621</v>
      </c>
      <c r="C295" s="38" t="s">
        <v>41</v>
      </c>
      <c r="D295" s="86">
        <v>18.04</v>
      </c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1.25" customHeight="1">
      <c r="A296" s="82" t="s">
        <v>622</v>
      </c>
      <c r="B296" s="54" t="s">
        <v>623</v>
      </c>
      <c r="C296" s="38" t="s">
        <v>41</v>
      </c>
      <c r="D296" s="86">
        <v>18.5</v>
      </c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1.25" customHeight="1">
      <c r="A297" s="82" t="s">
        <v>624</v>
      </c>
      <c r="B297" s="54" t="s">
        <v>625</v>
      </c>
      <c r="C297" s="38" t="s">
        <v>41</v>
      </c>
      <c r="D297" s="86">
        <v>44</v>
      </c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1.25" customHeight="1">
      <c r="A298" s="82" t="s">
        <v>626</v>
      </c>
      <c r="B298" s="55" t="s">
        <v>627</v>
      </c>
      <c r="C298" s="56" t="s">
        <v>41</v>
      </c>
      <c r="D298" s="89">
        <v>84.84</v>
      </c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1.25" customHeight="1">
      <c r="A299" s="82" t="s">
        <v>628</v>
      </c>
      <c r="B299" s="55" t="s">
        <v>629</v>
      </c>
      <c r="C299" s="56" t="s">
        <v>41</v>
      </c>
      <c r="D299" s="89">
        <v>114.24</v>
      </c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1.25" customHeight="1">
      <c r="A300" s="82" t="s">
        <v>630</v>
      </c>
      <c r="B300" s="54" t="s">
        <v>631</v>
      </c>
      <c r="C300" s="38" t="s">
        <v>41</v>
      </c>
      <c r="D300" s="86">
        <v>52.32</v>
      </c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1.25" customHeight="1">
      <c r="A301" s="82" t="s">
        <v>632</v>
      </c>
      <c r="B301" s="54" t="s">
        <v>633</v>
      </c>
      <c r="C301" s="38" t="s">
        <v>225</v>
      </c>
      <c r="D301" s="86">
        <v>11.53</v>
      </c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1.25" customHeight="1">
      <c r="A302" s="82" t="s">
        <v>634</v>
      </c>
      <c r="B302" s="54" t="s">
        <v>635</v>
      </c>
      <c r="C302" s="38" t="s">
        <v>41</v>
      </c>
      <c r="D302" s="87">
        <v>19</v>
      </c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1.25" customHeight="1">
      <c r="A303" s="82" t="s">
        <v>636</v>
      </c>
      <c r="B303" s="54" t="s">
        <v>637</v>
      </c>
      <c r="C303" s="38" t="s">
        <v>225</v>
      </c>
      <c r="D303" s="86">
        <v>32</v>
      </c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1.25" customHeight="1">
      <c r="A304" s="82" t="s">
        <v>638</v>
      </c>
      <c r="B304" s="54" t="s">
        <v>639</v>
      </c>
      <c r="C304" s="38" t="s">
        <v>225</v>
      </c>
      <c r="D304" s="86">
        <v>36.75</v>
      </c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1.25" customHeight="1">
      <c r="A305" s="82" t="s">
        <v>640</v>
      </c>
      <c r="B305" s="54" t="s">
        <v>641</v>
      </c>
      <c r="C305" s="38" t="s">
        <v>225</v>
      </c>
      <c r="D305" s="86">
        <v>40</v>
      </c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1.25" customHeight="1">
      <c r="A306" s="82" t="s">
        <v>642</v>
      </c>
      <c r="B306" s="54" t="s">
        <v>643</v>
      </c>
      <c r="C306" s="38" t="s">
        <v>225</v>
      </c>
      <c r="D306" s="86">
        <v>40</v>
      </c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1.25" customHeight="1">
      <c r="A307" s="82" t="s">
        <v>644</v>
      </c>
      <c r="B307" s="54" t="s">
        <v>645</v>
      </c>
      <c r="C307" s="38" t="s">
        <v>225</v>
      </c>
      <c r="D307" s="86">
        <v>49</v>
      </c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1.25" customHeight="1">
      <c r="A308" s="82" t="s">
        <v>646</v>
      </c>
      <c r="B308" s="54" t="s">
        <v>647</v>
      </c>
      <c r="C308" s="38" t="s">
        <v>225</v>
      </c>
      <c r="D308" s="86">
        <v>75.8</v>
      </c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1.25" customHeight="1">
      <c r="A309" s="82" t="s">
        <v>648</v>
      </c>
      <c r="B309" s="55" t="s">
        <v>649</v>
      </c>
      <c r="C309" s="56" t="s">
        <v>41</v>
      </c>
      <c r="D309" s="89">
        <v>15</v>
      </c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1.25" customHeight="1">
      <c r="A310" s="82" t="s">
        <v>650</v>
      </c>
      <c r="B310" s="55" t="s">
        <v>651</v>
      </c>
      <c r="C310" s="56" t="s">
        <v>41</v>
      </c>
      <c r="D310" s="90">
        <v>13.31</v>
      </c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1.25" customHeight="1">
      <c r="A311" s="82" t="s">
        <v>652</v>
      </c>
      <c r="B311" s="55" t="s">
        <v>653</v>
      </c>
      <c r="C311" s="56" t="s">
        <v>41</v>
      </c>
      <c r="D311" s="90">
        <v>12</v>
      </c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1.25" customHeight="1">
      <c r="A312" s="82" t="s">
        <v>654</v>
      </c>
      <c r="B312" s="54" t="s">
        <v>655</v>
      </c>
      <c r="C312" s="38" t="s">
        <v>41</v>
      </c>
      <c r="D312" s="86">
        <v>1427</v>
      </c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1.25" customHeight="1">
      <c r="A313" s="82" t="s">
        <v>656</v>
      </c>
      <c r="B313" s="54" t="s">
        <v>657</v>
      </c>
      <c r="C313" s="38" t="s">
        <v>41</v>
      </c>
      <c r="D313" s="86">
        <v>281</v>
      </c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1.25" customHeight="1">
      <c r="A314" s="82" t="s">
        <v>658</v>
      </c>
      <c r="B314" s="54" t="s">
        <v>659</v>
      </c>
      <c r="C314" s="38" t="s">
        <v>41</v>
      </c>
      <c r="D314" s="87">
        <v>608</v>
      </c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1.25" customHeight="1">
      <c r="A315" s="82" t="s">
        <v>32</v>
      </c>
      <c r="B315" s="55" t="s">
        <v>660</v>
      </c>
      <c r="C315" s="56" t="s">
        <v>41</v>
      </c>
      <c r="D315" s="89">
        <v>3.67</v>
      </c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1.25" customHeight="1">
      <c r="A316" s="82" t="s">
        <v>661</v>
      </c>
      <c r="B316" s="55" t="s">
        <v>662</v>
      </c>
      <c r="C316" s="56" t="s">
        <v>41</v>
      </c>
      <c r="D316" s="90">
        <v>2.25</v>
      </c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1.25" customHeight="1">
      <c r="A317" s="82" t="s">
        <v>663</v>
      </c>
      <c r="B317" s="55" t="s">
        <v>664</v>
      </c>
      <c r="C317" s="56" t="s">
        <v>41</v>
      </c>
      <c r="D317" s="89">
        <v>4.71</v>
      </c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1.25" customHeight="1">
      <c r="A318" s="82" t="s">
        <v>665</v>
      </c>
      <c r="B318" s="55" t="s">
        <v>666</v>
      </c>
      <c r="C318" s="56" t="s">
        <v>41</v>
      </c>
      <c r="D318" s="88">
        <v>25.57</v>
      </c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1.25" customHeight="1">
      <c r="A319" s="82" t="s">
        <v>667</v>
      </c>
      <c r="B319" s="55" t="s">
        <v>668</v>
      </c>
      <c r="C319" s="56" t="s">
        <v>41</v>
      </c>
      <c r="D319" s="90">
        <v>33.65</v>
      </c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1.25" customHeight="1">
      <c r="A320" s="82" t="s">
        <v>669</v>
      </c>
      <c r="B320" s="54" t="s">
        <v>670</v>
      </c>
      <c r="C320" s="38" t="s">
        <v>41</v>
      </c>
      <c r="D320" s="87">
        <v>1</v>
      </c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1.25" customHeight="1">
      <c r="A321" s="82" t="s">
        <v>671</v>
      </c>
      <c r="B321" s="54" t="s">
        <v>672</v>
      </c>
      <c r="C321" s="38" t="s">
        <v>41</v>
      </c>
      <c r="D321" s="87">
        <v>0.88</v>
      </c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1.25" customHeight="1">
      <c r="A322" s="82" t="s">
        <v>673</v>
      </c>
      <c r="B322" s="54" t="s">
        <v>674</v>
      </c>
      <c r="C322" s="38" t="s">
        <v>41</v>
      </c>
      <c r="D322" s="87">
        <v>0.88</v>
      </c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1.25" customHeight="1">
      <c r="A323" s="82" t="s">
        <v>675</v>
      </c>
      <c r="B323" s="54" t="s">
        <v>676</v>
      </c>
      <c r="C323" s="38" t="s">
        <v>41</v>
      </c>
      <c r="D323" s="87">
        <v>1.73</v>
      </c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1.25" customHeight="1">
      <c r="A324" s="82" t="s">
        <v>677</v>
      </c>
      <c r="B324" s="54" t="s">
        <v>678</v>
      </c>
      <c r="C324" s="38" t="s">
        <v>41</v>
      </c>
      <c r="D324" s="87">
        <v>0.88</v>
      </c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1.25" customHeight="1">
      <c r="A325" s="82" t="s">
        <v>679</v>
      </c>
      <c r="B325" s="54" t="s">
        <v>680</v>
      </c>
      <c r="C325" s="38" t="s">
        <v>41</v>
      </c>
      <c r="D325" s="87">
        <v>6.81</v>
      </c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1.25" customHeight="1">
      <c r="A326" s="82" t="s">
        <v>681</v>
      </c>
      <c r="B326" s="54" t="s">
        <v>682</v>
      </c>
      <c r="C326" s="38" t="s">
        <v>41</v>
      </c>
      <c r="D326" s="86">
        <v>13.57</v>
      </c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1.25" customHeight="1">
      <c r="A327" s="82" t="s">
        <v>683</v>
      </c>
      <c r="B327" s="54" t="s">
        <v>684</v>
      </c>
      <c r="C327" s="38" t="s">
        <v>41</v>
      </c>
      <c r="D327" s="86">
        <v>6.29</v>
      </c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1.25" customHeight="1">
      <c r="A328" s="82" t="s">
        <v>685</v>
      </c>
      <c r="B328" s="54" t="s">
        <v>686</v>
      </c>
      <c r="C328" s="38" t="s">
        <v>41</v>
      </c>
      <c r="D328" s="86">
        <v>22.95</v>
      </c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1.25" customHeight="1">
      <c r="A329" s="82" t="s">
        <v>687</v>
      </c>
      <c r="B329" s="54" t="s">
        <v>688</v>
      </c>
      <c r="C329" s="38" t="s">
        <v>41</v>
      </c>
      <c r="D329" s="86">
        <v>4.1059999999999999</v>
      </c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1.25" customHeight="1">
      <c r="A330" s="82" t="s">
        <v>689</v>
      </c>
      <c r="B330" s="55" t="s">
        <v>690</v>
      </c>
      <c r="C330" s="56" t="s">
        <v>41</v>
      </c>
      <c r="D330" s="90">
        <v>9.9</v>
      </c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1.25" customHeight="1">
      <c r="A331" s="82" t="s">
        <v>691</v>
      </c>
      <c r="B331" s="55" t="s">
        <v>692</v>
      </c>
      <c r="C331" s="56" t="s">
        <v>41</v>
      </c>
      <c r="D331" s="90">
        <v>7.84</v>
      </c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1.25" customHeight="1">
      <c r="A332" s="82" t="s">
        <v>693</v>
      </c>
      <c r="B332" s="55" t="s">
        <v>694</v>
      </c>
      <c r="C332" s="56" t="s">
        <v>41</v>
      </c>
      <c r="D332" s="89">
        <v>8.4</v>
      </c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1.25" customHeight="1">
      <c r="A333" s="82" t="s">
        <v>695</v>
      </c>
      <c r="B333" s="55" t="s">
        <v>696</v>
      </c>
      <c r="C333" s="56" t="s">
        <v>41</v>
      </c>
      <c r="D333" s="89">
        <v>4.9000000000000004</v>
      </c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1.25" customHeight="1">
      <c r="A334" s="82" t="s">
        <v>697</v>
      </c>
      <c r="B334" s="55" t="s">
        <v>698</v>
      </c>
      <c r="C334" s="56" t="s">
        <v>41</v>
      </c>
      <c r="D334" s="89">
        <v>15.85</v>
      </c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1.25" customHeight="1">
      <c r="A335" s="82" t="s">
        <v>699</v>
      </c>
      <c r="B335" s="55" t="s">
        <v>700</v>
      </c>
      <c r="C335" s="56" t="s">
        <v>41</v>
      </c>
      <c r="D335" s="89">
        <v>3.76</v>
      </c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1.25" customHeight="1">
      <c r="A336" s="82" t="s">
        <v>701</v>
      </c>
      <c r="B336" s="54" t="s">
        <v>702</v>
      </c>
      <c r="C336" s="38" t="s">
        <v>41</v>
      </c>
      <c r="D336" s="87">
        <v>1646.47</v>
      </c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1.25" customHeight="1">
      <c r="A337" s="82" t="s">
        <v>703</v>
      </c>
      <c r="B337" s="54" t="s">
        <v>704</v>
      </c>
      <c r="C337" s="38" t="s">
        <v>41</v>
      </c>
      <c r="D337" s="87">
        <v>145</v>
      </c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1.25" customHeight="1">
      <c r="A338" s="82" t="s">
        <v>705</v>
      </c>
      <c r="B338" s="54" t="s">
        <v>706</v>
      </c>
      <c r="C338" s="38" t="s">
        <v>41</v>
      </c>
      <c r="D338" s="86">
        <v>275</v>
      </c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1.25" customHeight="1">
      <c r="A339" s="82" t="s">
        <v>707</v>
      </c>
      <c r="B339" s="55" t="s">
        <v>708</v>
      </c>
      <c r="C339" s="56" t="s">
        <v>41</v>
      </c>
      <c r="D339" s="89">
        <v>283</v>
      </c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1.25" customHeight="1">
      <c r="A340" s="82" t="s">
        <v>709</v>
      </c>
      <c r="B340" s="55" t="s">
        <v>710</v>
      </c>
      <c r="C340" s="56" t="s">
        <v>41</v>
      </c>
      <c r="D340" s="89">
        <v>189.4</v>
      </c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1.25" customHeight="1">
      <c r="A341" s="82" t="s">
        <v>711</v>
      </c>
      <c r="B341" s="54" t="s">
        <v>712</v>
      </c>
      <c r="C341" s="38" t="s">
        <v>41</v>
      </c>
      <c r="D341" s="86">
        <v>340.5</v>
      </c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1.25" customHeight="1">
      <c r="A342" s="82" t="s">
        <v>713</v>
      </c>
      <c r="B342" s="54" t="s">
        <v>714</v>
      </c>
      <c r="C342" s="38" t="s">
        <v>41</v>
      </c>
      <c r="D342" s="86">
        <v>379.24</v>
      </c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1.25" customHeight="1">
      <c r="A343" s="82" t="s">
        <v>715</v>
      </c>
      <c r="B343" s="54" t="s">
        <v>716</v>
      </c>
      <c r="C343" s="38" t="s">
        <v>41</v>
      </c>
      <c r="D343" s="86">
        <v>435.09</v>
      </c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1.25" customHeight="1">
      <c r="A344" s="82" t="s">
        <v>717</v>
      </c>
      <c r="B344" s="54" t="s">
        <v>718</v>
      </c>
      <c r="C344" s="38" t="s">
        <v>41</v>
      </c>
      <c r="D344" s="86">
        <v>561.05999999999995</v>
      </c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1.25" customHeight="1">
      <c r="A345" s="82" t="s">
        <v>719</v>
      </c>
      <c r="B345" s="54" t="s">
        <v>720</v>
      </c>
      <c r="C345" s="38" t="s">
        <v>41</v>
      </c>
      <c r="D345" s="86">
        <v>627.33000000000004</v>
      </c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1.25" customHeight="1">
      <c r="A346" s="82" t="s">
        <v>721</v>
      </c>
      <c r="B346" s="54" t="s">
        <v>722</v>
      </c>
      <c r="C346" s="38" t="s">
        <v>41</v>
      </c>
      <c r="D346" s="86">
        <v>122.8</v>
      </c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1.25" customHeight="1">
      <c r="A347" s="82" t="s">
        <v>723</v>
      </c>
      <c r="B347" s="55" t="s">
        <v>724</v>
      </c>
      <c r="C347" s="56" t="s">
        <v>41</v>
      </c>
      <c r="D347" s="90">
        <v>107.87</v>
      </c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1.25" customHeight="1">
      <c r="A348" s="82" t="s">
        <v>725</v>
      </c>
      <c r="B348" s="54" t="s">
        <v>726</v>
      </c>
      <c r="C348" s="38" t="s">
        <v>41</v>
      </c>
      <c r="D348" s="86">
        <v>0</v>
      </c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1.25" customHeight="1">
      <c r="A349" s="82" t="s">
        <v>727</v>
      </c>
      <c r="B349" s="54" t="s">
        <v>728</v>
      </c>
      <c r="C349" s="38" t="s">
        <v>41</v>
      </c>
      <c r="D349" s="85">
        <v>402</v>
      </c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1.25" customHeight="1">
      <c r="A350" s="82" t="s">
        <v>729</v>
      </c>
      <c r="B350" s="54" t="s">
        <v>730</v>
      </c>
      <c r="C350" s="38" t="s">
        <v>41</v>
      </c>
      <c r="D350" s="85">
        <v>0</v>
      </c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1.25" customHeight="1">
      <c r="A351" s="82" t="s">
        <v>731</v>
      </c>
      <c r="B351" s="54" t="s">
        <v>732</v>
      </c>
      <c r="C351" s="38" t="s">
        <v>41</v>
      </c>
      <c r="D351" s="85">
        <v>0</v>
      </c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1.25" customHeight="1">
      <c r="A352" s="82" t="s">
        <v>733</v>
      </c>
      <c r="B352" s="54" t="s">
        <v>734</v>
      </c>
      <c r="C352" s="38" t="s">
        <v>41</v>
      </c>
      <c r="D352" s="85">
        <v>5072.9399999999996</v>
      </c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1.25" customHeight="1">
      <c r="A353" s="82" t="s">
        <v>735</v>
      </c>
      <c r="B353" s="55" t="s">
        <v>736</v>
      </c>
      <c r="C353" s="56" t="s">
        <v>41</v>
      </c>
      <c r="D353" s="90">
        <v>6.5</v>
      </c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1.25" customHeight="1">
      <c r="A354" s="82" t="s">
        <v>737</v>
      </c>
      <c r="B354" s="55" t="s">
        <v>738</v>
      </c>
      <c r="C354" s="56" t="s">
        <v>41</v>
      </c>
      <c r="D354" s="90">
        <v>9</v>
      </c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1.25" customHeight="1">
      <c r="A355" s="82" t="s">
        <v>739</v>
      </c>
      <c r="B355" s="55" t="s">
        <v>740</v>
      </c>
      <c r="C355" s="56" t="s">
        <v>41</v>
      </c>
      <c r="D355" s="89">
        <v>29.7</v>
      </c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1.25" customHeight="1">
      <c r="A356" s="82" t="s">
        <v>741</v>
      </c>
      <c r="B356" s="55" t="s">
        <v>742</v>
      </c>
      <c r="C356" s="56" t="s">
        <v>41</v>
      </c>
      <c r="D356" s="89">
        <v>67.2</v>
      </c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1.25" customHeight="1">
      <c r="A357" s="82" t="s">
        <v>743</v>
      </c>
      <c r="B357" s="55" t="s">
        <v>744</v>
      </c>
      <c r="C357" s="56" t="s">
        <v>41</v>
      </c>
      <c r="D357" s="90">
        <v>3</v>
      </c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1.25" customHeight="1">
      <c r="A358" s="82" t="s">
        <v>745</v>
      </c>
      <c r="B358" s="55" t="s">
        <v>746</v>
      </c>
      <c r="C358" s="56" t="s">
        <v>41</v>
      </c>
      <c r="D358" s="90">
        <v>1.5</v>
      </c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1.25" customHeight="1">
      <c r="A359" s="82" t="s">
        <v>747</v>
      </c>
      <c r="B359" s="54" t="s">
        <v>748</v>
      </c>
      <c r="C359" s="38" t="s">
        <v>41</v>
      </c>
      <c r="D359" s="86">
        <v>5</v>
      </c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1.25" customHeight="1">
      <c r="A360" s="82" t="s">
        <v>749</v>
      </c>
      <c r="B360" s="54" t="s">
        <v>750</v>
      </c>
      <c r="C360" s="38" t="s">
        <v>41</v>
      </c>
      <c r="D360" s="86">
        <v>1.95</v>
      </c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1.25" customHeight="1">
      <c r="A361" s="82" t="s">
        <v>751</v>
      </c>
      <c r="B361" s="54" t="s">
        <v>752</v>
      </c>
      <c r="C361" s="38" t="s">
        <v>41</v>
      </c>
      <c r="D361" s="86">
        <v>7.3</v>
      </c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1.25" customHeight="1">
      <c r="A362" s="82" t="s">
        <v>753</v>
      </c>
      <c r="B362" s="54" t="s">
        <v>754</v>
      </c>
      <c r="C362" s="38" t="s">
        <v>41</v>
      </c>
      <c r="D362" s="86">
        <v>19</v>
      </c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1.25" customHeight="1">
      <c r="A363" s="82" t="s">
        <v>755</v>
      </c>
      <c r="B363" s="54" t="s">
        <v>756</v>
      </c>
      <c r="C363" s="38" t="s">
        <v>41</v>
      </c>
      <c r="D363" s="87">
        <v>1.2</v>
      </c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1.25" customHeight="1">
      <c r="A364" s="82" t="s">
        <v>757</v>
      </c>
      <c r="B364" s="54" t="s">
        <v>758</v>
      </c>
      <c r="C364" s="38" t="s">
        <v>41</v>
      </c>
      <c r="D364" s="86">
        <v>32</v>
      </c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1.25" customHeight="1">
      <c r="A365" s="82" t="s">
        <v>759</v>
      </c>
      <c r="B365" s="54" t="s">
        <v>760</v>
      </c>
      <c r="C365" s="38" t="s">
        <v>41</v>
      </c>
      <c r="D365" s="86">
        <v>5.88</v>
      </c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1.25" customHeight="1">
      <c r="A366" s="82" t="s">
        <v>761</v>
      </c>
      <c r="B366" s="54" t="s">
        <v>762</v>
      </c>
      <c r="C366" s="38" t="s">
        <v>41</v>
      </c>
      <c r="D366" s="87">
        <v>19</v>
      </c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1.25" customHeight="1">
      <c r="A367" s="82" t="s">
        <v>763</v>
      </c>
      <c r="B367" s="54" t="s">
        <v>764</v>
      </c>
      <c r="C367" s="38" t="s">
        <v>41</v>
      </c>
      <c r="D367" s="85">
        <v>41.4</v>
      </c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1.25" customHeight="1">
      <c r="A368" s="82" t="s">
        <v>765</v>
      </c>
      <c r="B368" s="54" t="s">
        <v>766</v>
      </c>
      <c r="C368" s="38" t="s">
        <v>41</v>
      </c>
      <c r="D368" s="86">
        <v>18.100000000000001</v>
      </c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1.25" customHeight="1">
      <c r="A369" s="82" t="s">
        <v>767</v>
      </c>
      <c r="B369" s="54" t="s">
        <v>768</v>
      </c>
      <c r="C369" s="38" t="s">
        <v>41</v>
      </c>
      <c r="D369" s="87">
        <v>17.899999999999999</v>
      </c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1.25" customHeight="1">
      <c r="A370" s="82" t="s">
        <v>769</v>
      </c>
      <c r="B370" s="54" t="s">
        <v>770</v>
      </c>
      <c r="C370" s="38" t="s">
        <v>41</v>
      </c>
      <c r="D370" s="86">
        <v>29.85</v>
      </c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1.25" customHeight="1">
      <c r="A371" s="82" t="s">
        <v>771</v>
      </c>
      <c r="B371" s="54" t="s">
        <v>772</v>
      </c>
      <c r="C371" s="38" t="s">
        <v>41</v>
      </c>
      <c r="D371" s="87">
        <v>28</v>
      </c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1.25" customHeight="1">
      <c r="A372" s="82" t="s">
        <v>773</v>
      </c>
      <c r="B372" s="54" t="s">
        <v>774</v>
      </c>
      <c r="C372" s="38" t="s">
        <v>41</v>
      </c>
      <c r="D372" s="86">
        <v>94</v>
      </c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1.25" customHeight="1">
      <c r="A373" s="82" t="s">
        <v>775</v>
      </c>
      <c r="B373" s="54" t="s">
        <v>776</v>
      </c>
      <c r="C373" s="38" t="s">
        <v>41</v>
      </c>
      <c r="D373" s="86">
        <v>73</v>
      </c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1.25" customHeight="1">
      <c r="A374" s="82" t="s">
        <v>777</v>
      </c>
      <c r="B374" s="54" t="s">
        <v>778</v>
      </c>
      <c r="C374" s="38" t="s">
        <v>41</v>
      </c>
      <c r="D374" s="85">
        <v>115.4</v>
      </c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1.25" customHeight="1">
      <c r="A375" s="82" t="s">
        <v>779</v>
      </c>
      <c r="B375" s="54" t="s">
        <v>780</v>
      </c>
      <c r="C375" s="38" t="s">
        <v>41</v>
      </c>
      <c r="D375" s="85">
        <v>25</v>
      </c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1.25" customHeight="1">
      <c r="A376" s="82" t="s">
        <v>781</v>
      </c>
      <c r="B376" s="54" t="s">
        <v>782</v>
      </c>
      <c r="C376" s="38" t="s">
        <v>41</v>
      </c>
      <c r="D376" s="85">
        <v>36</v>
      </c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1.25" customHeight="1">
      <c r="A377" s="82" t="s">
        <v>783</v>
      </c>
      <c r="B377" s="54" t="s">
        <v>784</v>
      </c>
      <c r="C377" s="38" t="s">
        <v>41</v>
      </c>
      <c r="D377" s="85">
        <v>32.39</v>
      </c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1.25" customHeight="1">
      <c r="A378" s="82" t="s">
        <v>785</v>
      </c>
      <c r="B378" s="54" t="s">
        <v>786</v>
      </c>
      <c r="C378" s="38" t="s">
        <v>41</v>
      </c>
      <c r="D378" s="87">
        <v>10.9</v>
      </c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1.25" customHeight="1">
      <c r="A379" s="82" t="s">
        <v>787</v>
      </c>
      <c r="B379" s="54" t="s">
        <v>788</v>
      </c>
      <c r="C379" s="38" t="s">
        <v>41</v>
      </c>
      <c r="D379" s="86">
        <v>28.2</v>
      </c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1.25" customHeight="1">
      <c r="A380" s="82" t="s">
        <v>789</v>
      </c>
      <c r="B380" s="54" t="s">
        <v>790</v>
      </c>
      <c r="C380" s="38" t="s">
        <v>41</v>
      </c>
      <c r="D380" s="86">
        <v>39.4</v>
      </c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1.25" customHeight="1">
      <c r="A381" s="82" t="s">
        <v>791</v>
      </c>
      <c r="B381" s="54" t="s">
        <v>792</v>
      </c>
      <c r="C381" s="38" t="s">
        <v>41</v>
      </c>
      <c r="D381" s="85">
        <v>39</v>
      </c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1.25" customHeight="1">
      <c r="A382" s="82" t="s">
        <v>793</v>
      </c>
      <c r="B382" s="54" t="s">
        <v>794</v>
      </c>
      <c r="C382" s="38" t="s">
        <v>41</v>
      </c>
      <c r="D382" s="85">
        <v>166.3</v>
      </c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1.25" customHeight="1">
      <c r="A383" s="82" t="s">
        <v>795</v>
      </c>
      <c r="B383" s="54" t="s">
        <v>796</v>
      </c>
      <c r="C383" s="38" t="s">
        <v>41</v>
      </c>
      <c r="D383" s="86">
        <v>176</v>
      </c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1.25" customHeight="1">
      <c r="A384" s="82" t="s">
        <v>797</v>
      </c>
      <c r="B384" s="54" t="s">
        <v>798</v>
      </c>
      <c r="C384" s="38" t="s">
        <v>41</v>
      </c>
      <c r="D384" s="85">
        <v>167.7</v>
      </c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1.25" customHeight="1">
      <c r="A385" s="82" t="s">
        <v>799</v>
      </c>
      <c r="B385" s="54" t="s">
        <v>800</v>
      </c>
      <c r="C385" s="38" t="s">
        <v>41</v>
      </c>
      <c r="D385" s="85">
        <v>72.709999999999994</v>
      </c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1.25" customHeight="1">
      <c r="A386" s="82" t="s">
        <v>801</v>
      </c>
      <c r="B386" s="54" t="s">
        <v>802</v>
      </c>
      <c r="C386" s="38" t="s">
        <v>41</v>
      </c>
      <c r="D386" s="85">
        <v>79</v>
      </c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1.25" customHeight="1">
      <c r="A387" s="82" t="s">
        <v>803</v>
      </c>
      <c r="B387" s="54" t="s">
        <v>804</v>
      </c>
      <c r="C387" s="38" t="s">
        <v>225</v>
      </c>
      <c r="D387" s="87">
        <v>3</v>
      </c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1.25" customHeight="1">
      <c r="A388" s="82" t="s">
        <v>805</v>
      </c>
      <c r="B388" s="54" t="s">
        <v>806</v>
      </c>
      <c r="C388" s="38" t="s">
        <v>41</v>
      </c>
      <c r="D388" s="87">
        <v>757</v>
      </c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1.25" customHeight="1">
      <c r="A389" s="82" t="s">
        <v>807</v>
      </c>
      <c r="B389" s="54" t="s">
        <v>808</v>
      </c>
      <c r="C389" s="38" t="s">
        <v>41</v>
      </c>
      <c r="D389" s="87">
        <v>0</v>
      </c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1.25" customHeight="1">
      <c r="A390" s="82" t="s">
        <v>809</v>
      </c>
      <c r="B390" s="54" t="s">
        <v>810</v>
      </c>
      <c r="C390" s="38" t="s">
        <v>41</v>
      </c>
      <c r="D390" s="87">
        <v>0</v>
      </c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1.25" customHeight="1">
      <c r="A391" s="82" t="s">
        <v>811</v>
      </c>
      <c r="B391" s="54" t="s">
        <v>812</v>
      </c>
      <c r="C391" s="38" t="s">
        <v>41</v>
      </c>
      <c r="D391" s="86">
        <v>0</v>
      </c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1.25" customHeight="1">
      <c r="A392" s="82" t="s">
        <v>813</v>
      </c>
      <c r="B392" s="54" t="s">
        <v>814</v>
      </c>
      <c r="C392" s="38" t="s">
        <v>41</v>
      </c>
      <c r="D392" s="86">
        <v>0</v>
      </c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1.25" customHeight="1">
      <c r="A393" s="82" t="s">
        <v>815</v>
      </c>
      <c r="B393" s="54" t="s">
        <v>816</v>
      </c>
      <c r="C393" s="38" t="s">
        <v>41</v>
      </c>
      <c r="D393" s="87">
        <v>1</v>
      </c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1.25" customHeight="1">
      <c r="A394" s="82" t="s">
        <v>817</v>
      </c>
      <c r="B394" s="54" t="s">
        <v>818</v>
      </c>
      <c r="C394" s="38" t="s">
        <v>41</v>
      </c>
      <c r="D394" s="87">
        <v>0.97</v>
      </c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1.25" customHeight="1">
      <c r="A395" s="82" t="s">
        <v>819</v>
      </c>
      <c r="B395" s="54" t="s">
        <v>820</v>
      </c>
      <c r="C395" s="38" t="s">
        <v>41</v>
      </c>
      <c r="D395" s="87">
        <v>1.8</v>
      </c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1.25" customHeight="1">
      <c r="A396" s="82" t="s">
        <v>821</v>
      </c>
      <c r="B396" s="54" t="s">
        <v>822</v>
      </c>
      <c r="C396" s="38" t="s">
        <v>41</v>
      </c>
      <c r="D396" s="87">
        <v>1.52</v>
      </c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1.25" customHeight="1">
      <c r="A397" s="82" t="s">
        <v>823</v>
      </c>
      <c r="B397" s="55" t="s">
        <v>824</v>
      </c>
      <c r="C397" s="56" t="s">
        <v>41</v>
      </c>
      <c r="D397" s="90">
        <v>28</v>
      </c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1.25" customHeight="1">
      <c r="A398" s="82" t="s">
        <v>825</v>
      </c>
      <c r="B398" s="54" t="s">
        <v>826</v>
      </c>
      <c r="C398" s="38" t="s">
        <v>41</v>
      </c>
      <c r="D398" s="87">
        <v>23</v>
      </c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1.25" customHeight="1">
      <c r="A399" s="82" t="s">
        <v>827</v>
      </c>
      <c r="B399" s="54" t="s">
        <v>828</v>
      </c>
      <c r="C399" s="38" t="s">
        <v>41</v>
      </c>
      <c r="D399" s="87">
        <v>3013.98</v>
      </c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1.25" customHeight="1">
      <c r="A400" s="82" t="s">
        <v>829</v>
      </c>
      <c r="B400" s="55" t="s">
        <v>830</v>
      </c>
      <c r="C400" s="56" t="s">
        <v>41</v>
      </c>
      <c r="D400" s="88">
        <v>221.72</v>
      </c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1.25" customHeight="1">
      <c r="A401" s="82" t="s">
        <v>831</v>
      </c>
      <c r="B401" s="55" t="s">
        <v>832</v>
      </c>
      <c r="C401" s="56" t="s">
        <v>41</v>
      </c>
      <c r="D401" s="88">
        <v>199.35</v>
      </c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1.25" customHeight="1">
      <c r="A402" s="82" t="s">
        <v>833</v>
      </c>
      <c r="B402" s="55" t="s">
        <v>834</v>
      </c>
      <c r="C402" s="56" t="s">
        <v>41</v>
      </c>
      <c r="D402" s="89">
        <v>249.06</v>
      </c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1.25" customHeight="1">
      <c r="A403" s="82" t="s">
        <v>835</v>
      </c>
      <c r="B403" s="55" t="s">
        <v>836</v>
      </c>
      <c r="C403" s="56" t="s">
        <v>41</v>
      </c>
      <c r="D403" s="89">
        <v>178.62</v>
      </c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1.25" customHeight="1">
      <c r="A404" s="82" t="s">
        <v>837</v>
      </c>
      <c r="B404" s="55" t="s">
        <v>838</v>
      </c>
      <c r="C404" s="56" t="s">
        <v>41</v>
      </c>
      <c r="D404" s="89">
        <v>250</v>
      </c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1.25" customHeight="1">
      <c r="A405" s="82" t="s">
        <v>839</v>
      </c>
      <c r="B405" s="55" t="s">
        <v>840</v>
      </c>
      <c r="C405" s="56" t="s">
        <v>41</v>
      </c>
      <c r="D405" s="89">
        <v>258.08</v>
      </c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1.25" customHeight="1">
      <c r="A406" s="82" t="s">
        <v>841</v>
      </c>
      <c r="B406" s="55" t="s">
        <v>842</v>
      </c>
      <c r="C406" s="56" t="s">
        <v>41</v>
      </c>
      <c r="D406" s="89">
        <v>230.69</v>
      </c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1.25" customHeight="1">
      <c r="A407" s="82" t="s">
        <v>843</v>
      </c>
      <c r="B407" s="55" t="s">
        <v>844</v>
      </c>
      <c r="C407" s="56" t="s">
        <v>41</v>
      </c>
      <c r="D407" s="89">
        <v>326.83</v>
      </c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1.25" customHeight="1">
      <c r="A408" s="82" t="s">
        <v>845</v>
      </c>
      <c r="B408" s="54" t="s">
        <v>846</v>
      </c>
      <c r="C408" s="38" t="s">
        <v>41</v>
      </c>
      <c r="D408" s="85">
        <v>470.25</v>
      </c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1.25" customHeight="1">
      <c r="A409" s="82" t="s">
        <v>847</v>
      </c>
      <c r="B409" s="54" t="s">
        <v>848</v>
      </c>
      <c r="C409" s="38" t="s">
        <v>41</v>
      </c>
      <c r="D409" s="85">
        <v>329.08</v>
      </c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1.25" customHeight="1">
      <c r="A410" s="82" t="s">
        <v>849</v>
      </c>
      <c r="B410" s="54" t="s">
        <v>850</v>
      </c>
      <c r="C410" s="38" t="s">
        <v>41</v>
      </c>
      <c r="D410" s="85">
        <v>429.32</v>
      </c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1.25" customHeight="1">
      <c r="A411" s="82" t="s">
        <v>851</v>
      </c>
      <c r="B411" s="54" t="s">
        <v>852</v>
      </c>
      <c r="C411" s="38" t="s">
        <v>41</v>
      </c>
      <c r="D411" s="85">
        <v>509.21</v>
      </c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1.25" customHeight="1">
      <c r="A412" s="82" t="s">
        <v>853</v>
      </c>
      <c r="B412" s="54" t="s">
        <v>854</v>
      </c>
      <c r="C412" s="38" t="s">
        <v>41</v>
      </c>
      <c r="D412" s="85">
        <v>350</v>
      </c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1.25" customHeight="1">
      <c r="A413" s="82" t="s">
        <v>855</v>
      </c>
      <c r="B413" s="54" t="s">
        <v>856</v>
      </c>
      <c r="C413" s="38" t="s">
        <v>41</v>
      </c>
      <c r="D413" s="86">
        <v>393.18</v>
      </c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1.25" customHeight="1">
      <c r="A414" s="82" t="s">
        <v>857</v>
      </c>
      <c r="B414" s="54" t="s">
        <v>858</v>
      </c>
      <c r="C414" s="38" t="s">
        <v>41</v>
      </c>
      <c r="D414" s="87">
        <v>536.09</v>
      </c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1.25" customHeight="1">
      <c r="A415" s="82" t="s">
        <v>859</v>
      </c>
      <c r="B415" s="54" t="s">
        <v>860</v>
      </c>
      <c r="C415" s="38" t="s">
        <v>41</v>
      </c>
      <c r="D415" s="85">
        <v>383.18</v>
      </c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1.25" customHeight="1">
      <c r="A416" s="82" t="s">
        <v>861</v>
      </c>
      <c r="B416" s="54" t="s">
        <v>862</v>
      </c>
      <c r="C416" s="38" t="s">
        <v>41</v>
      </c>
      <c r="D416" s="86">
        <v>428.26</v>
      </c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1.25" customHeight="1">
      <c r="A417" s="82" t="s">
        <v>863</v>
      </c>
      <c r="B417" s="54" t="s">
        <v>864</v>
      </c>
      <c r="C417" s="38" t="s">
        <v>41</v>
      </c>
      <c r="D417" s="86">
        <v>741.5</v>
      </c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1.25" customHeight="1">
      <c r="A418" s="82" t="s">
        <v>865</v>
      </c>
      <c r="B418" s="54" t="s">
        <v>866</v>
      </c>
      <c r="C418" s="38" t="s">
        <v>41</v>
      </c>
      <c r="D418" s="85">
        <v>412.72</v>
      </c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1.25" customHeight="1">
      <c r="A419" s="82" t="s">
        <v>867</v>
      </c>
      <c r="B419" s="54" t="s">
        <v>868</v>
      </c>
      <c r="C419" s="38" t="s">
        <v>41</v>
      </c>
      <c r="D419" s="85">
        <v>664.79</v>
      </c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1.25" customHeight="1">
      <c r="A420" s="82" t="s">
        <v>869</v>
      </c>
      <c r="B420" s="54" t="s">
        <v>870</v>
      </c>
      <c r="C420" s="38" t="s">
        <v>41</v>
      </c>
      <c r="D420" s="86">
        <v>173.01</v>
      </c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1.25" customHeight="1">
      <c r="A421" s="82" t="s">
        <v>871</v>
      </c>
      <c r="B421" s="54" t="s">
        <v>872</v>
      </c>
      <c r="C421" s="38" t="s">
        <v>41</v>
      </c>
      <c r="D421" s="86">
        <v>230.55</v>
      </c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1.25" customHeight="1">
      <c r="A422" s="82" t="s">
        <v>873</v>
      </c>
      <c r="B422" s="54" t="s">
        <v>874</v>
      </c>
      <c r="C422" s="38" t="s">
        <v>41</v>
      </c>
      <c r="D422" s="86">
        <v>346.03</v>
      </c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1.25" customHeight="1">
      <c r="A423" s="82" t="s">
        <v>875</v>
      </c>
      <c r="B423" s="54" t="s">
        <v>876</v>
      </c>
      <c r="C423" s="38" t="s">
        <v>41</v>
      </c>
      <c r="D423" s="86">
        <v>253</v>
      </c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1.25" customHeight="1">
      <c r="A424" s="82" t="s">
        <v>877</v>
      </c>
      <c r="B424" s="54" t="s">
        <v>878</v>
      </c>
      <c r="C424" s="38" t="s">
        <v>41</v>
      </c>
      <c r="D424" s="85">
        <v>471.87</v>
      </c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1.25" customHeight="1">
      <c r="A425" s="82" t="s">
        <v>879</v>
      </c>
      <c r="B425" s="54" t="s">
        <v>880</v>
      </c>
      <c r="C425" s="38" t="s">
        <v>41</v>
      </c>
      <c r="D425" s="86">
        <v>262.14999999999998</v>
      </c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1.25" customHeight="1">
      <c r="A426" s="82" t="s">
        <v>881</v>
      </c>
      <c r="B426" s="55" t="s">
        <v>882</v>
      </c>
      <c r="C426" s="56" t="s">
        <v>41</v>
      </c>
      <c r="D426" s="89">
        <v>312.95999999999998</v>
      </c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1.25" customHeight="1">
      <c r="A427" s="82" t="s">
        <v>883</v>
      </c>
      <c r="B427" s="55" t="s">
        <v>884</v>
      </c>
      <c r="C427" s="56" t="s">
        <v>41</v>
      </c>
      <c r="D427" s="88">
        <v>631.46</v>
      </c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1.25" customHeight="1">
      <c r="A428" s="82" t="s">
        <v>885</v>
      </c>
      <c r="B428" s="55" t="s">
        <v>886</v>
      </c>
      <c r="C428" s="56" t="s">
        <v>41</v>
      </c>
      <c r="D428" s="90">
        <v>212</v>
      </c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1.25" customHeight="1">
      <c r="A429" s="82" t="s">
        <v>887</v>
      </c>
      <c r="B429" s="55" t="s">
        <v>888</v>
      </c>
      <c r="C429" s="56" t="s">
        <v>41</v>
      </c>
      <c r="D429" s="90">
        <v>240.5</v>
      </c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1.25" customHeight="1">
      <c r="A430" s="82" t="s">
        <v>889</v>
      </c>
      <c r="B430" s="54" t="s">
        <v>890</v>
      </c>
      <c r="C430" s="38" t="s">
        <v>41</v>
      </c>
      <c r="D430" s="86">
        <v>251</v>
      </c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1.25" customHeight="1">
      <c r="A431" s="82" t="s">
        <v>891</v>
      </c>
      <c r="B431" s="54" t="s">
        <v>892</v>
      </c>
      <c r="C431" s="38" t="s">
        <v>41</v>
      </c>
      <c r="D431" s="87">
        <v>22.43</v>
      </c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1.25" customHeight="1">
      <c r="A432" s="82" t="s">
        <v>893</v>
      </c>
      <c r="B432" s="54" t="s">
        <v>894</v>
      </c>
      <c r="C432" s="38" t="s">
        <v>41</v>
      </c>
      <c r="D432" s="87">
        <v>36.119999999999997</v>
      </c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1.25" customHeight="1">
      <c r="A433" s="82" t="s">
        <v>895</v>
      </c>
      <c r="B433" s="55" t="s">
        <v>896</v>
      </c>
      <c r="C433" s="56" t="s">
        <v>41</v>
      </c>
      <c r="D433" s="89">
        <v>28.31</v>
      </c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1.25" customHeight="1">
      <c r="A434" s="82" t="s">
        <v>897</v>
      </c>
      <c r="B434" s="55" t="s">
        <v>898</v>
      </c>
      <c r="C434" s="56" t="s">
        <v>41</v>
      </c>
      <c r="D434" s="89">
        <v>57</v>
      </c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1.25" customHeight="1">
      <c r="A435" s="82" t="s">
        <v>899</v>
      </c>
      <c r="B435" s="54" t="s">
        <v>900</v>
      </c>
      <c r="C435" s="38" t="s">
        <v>41</v>
      </c>
      <c r="D435" s="86">
        <v>270</v>
      </c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1.25" customHeight="1">
      <c r="A436" s="82" t="s">
        <v>901</v>
      </c>
      <c r="B436" s="54" t="s">
        <v>902</v>
      </c>
      <c r="C436" s="38" t="s">
        <v>41</v>
      </c>
      <c r="D436" s="86">
        <v>57.02</v>
      </c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1.25" customHeight="1">
      <c r="A437" s="82" t="s">
        <v>903</v>
      </c>
      <c r="B437" s="54" t="s">
        <v>904</v>
      </c>
      <c r="C437" s="38" t="s">
        <v>41</v>
      </c>
      <c r="D437" s="86">
        <v>29.11</v>
      </c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1.25" customHeight="1">
      <c r="A438" s="82" t="s">
        <v>905</v>
      </c>
      <c r="B438" s="54" t="s">
        <v>906</v>
      </c>
      <c r="C438" s="38" t="s">
        <v>41</v>
      </c>
      <c r="D438" s="86">
        <v>67.11</v>
      </c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1.25" customHeight="1">
      <c r="A439" s="82" t="s">
        <v>907</v>
      </c>
      <c r="B439" s="54" t="s">
        <v>908</v>
      </c>
      <c r="C439" s="38" t="s">
        <v>41</v>
      </c>
      <c r="D439" s="86">
        <v>69.87</v>
      </c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1.25" customHeight="1">
      <c r="A440" s="82" t="s">
        <v>909</v>
      </c>
      <c r="B440" s="54" t="s">
        <v>910</v>
      </c>
      <c r="C440" s="38" t="s">
        <v>41</v>
      </c>
      <c r="D440" s="85">
        <v>62</v>
      </c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1.25" customHeight="1">
      <c r="A441" s="82" t="s">
        <v>911</v>
      </c>
      <c r="B441" s="54" t="s">
        <v>912</v>
      </c>
      <c r="C441" s="38" t="s">
        <v>41</v>
      </c>
      <c r="D441" s="86">
        <v>29.36</v>
      </c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1.25" customHeight="1">
      <c r="A442" s="82" t="s">
        <v>913</v>
      </c>
      <c r="B442" s="54" t="s">
        <v>914</v>
      </c>
      <c r="C442" s="38" t="s">
        <v>41</v>
      </c>
      <c r="D442" s="86">
        <v>68</v>
      </c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1.25" customHeight="1">
      <c r="A443" s="82" t="s">
        <v>915</v>
      </c>
      <c r="B443" s="54" t="s">
        <v>916</v>
      </c>
      <c r="C443" s="38" t="s">
        <v>41</v>
      </c>
      <c r="D443" s="86">
        <v>69.87</v>
      </c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1.25" customHeight="1">
      <c r="A444" s="82" t="s">
        <v>917</v>
      </c>
      <c r="B444" s="54" t="s">
        <v>918</v>
      </c>
      <c r="C444" s="38" t="s">
        <v>41</v>
      </c>
      <c r="D444" s="86">
        <v>68</v>
      </c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1.25" customHeight="1">
      <c r="A445" s="82" t="s">
        <v>919</v>
      </c>
      <c r="B445" s="54" t="s">
        <v>920</v>
      </c>
      <c r="C445" s="38" t="s">
        <v>41</v>
      </c>
      <c r="D445" s="86">
        <v>81</v>
      </c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1.25" customHeight="1">
      <c r="A446" s="82" t="s">
        <v>921</v>
      </c>
      <c r="B446" s="54" t="s">
        <v>922</v>
      </c>
      <c r="C446" s="38" t="s">
        <v>41</v>
      </c>
      <c r="D446" s="86">
        <v>71</v>
      </c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1.25" customHeight="1">
      <c r="A447" s="82" t="s">
        <v>923</v>
      </c>
      <c r="B447" s="54" t="s">
        <v>924</v>
      </c>
      <c r="C447" s="38" t="s">
        <v>41</v>
      </c>
      <c r="D447" s="86">
        <v>93.32</v>
      </c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1.25" customHeight="1">
      <c r="A448" s="82" t="s">
        <v>925</v>
      </c>
      <c r="B448" s="54" t="s">
        <v>926</v>
      </c>
      <c r="C448" s="38" t="s">
        <v>41</v>
      </c>
      <c r="D448" s="86">
        <v>89.13</v>
      </c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1.25" customHeight="1">
      <c r="A449" s="82" t="s">
        <v>927</v>
      </c>
      <c r="B449" s="54" t="s">
        <v>928</v>
      </c>
      <c r="C449" s="38" t="s">
        <v>41</v>
      </c>
      <c r="D449" s="86">
        <v>68</v>
      </c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1.25" customHeight="1">
      <c r="A450" s="82" t="s">
        <v>929</v>
      </c>
      <c r="B450" s="54" t="s">
        <v>930</v>
      </c>
      <c r="C450" s="38" t="s">
        <v>41</v>
      </c>
      <c r="D450" s="85">
        <v>419.44</v>
      </c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1.25" customHeight="1">
      <c r="A451" s="82" t="s">
        <v>931</v>
      </c>
      <c r="B451" s="55" t="s">
        <v>932</v>
      </c>
      <c r="C451" s="56" t="s">
        <v>41</v>
      </c>
      <c r="D451" s="88">
        <v>103</v>
      </c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1.25" customHeight="1">
      <c r="A452" s="82" t="s">
        <v>933</v>
      </c>
      <c r="B452" s="55" t="s">
        <v>934</v>
      </c>
      <c r="C452" s="56" t="s">
        <v>41</v>
      </c>
      <c r="D452" s="89">
        <v>57.67</v>
      </c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1.25" customHeight="1">
      <c r="A453" s="82" t="s">
        <v>935</v>
      </c>
      <c r="B453" s="54" t="s">
        <v>936</v>
      </c>
      <c r="C453" s="38" t="s">
        <v>41</v>
      </c>
      <c r="D453" s="85">
        <v>416.9</v>
      </c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1.25" customHeight="1">
      <c r="A454" s="82" t="s">
        <v>937</v>
      </c>
      <c r="B454" s="55" t="s">
        <v>938</v>
      </c>
      <c r="C454" s="56" t="s">
        <v>41</v>
      </c>
      <c r="D454" s="88">
        <v>94</v>
      </c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1.25" customHeight="1">
      <c r="A455" s="82" t="s">
        <v>939</v>
      </c>
      <c r="B455" s="55" t="s">
        <v>940</v>
      </c>
      <c r="C455" s="56" t="s">
        <v>41</v>
      </c>
      <c r="D455" s="89">
        <v>52.43</v>
      </c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1.25" customHeight="1">
      <c r="A456" s="82" t="s">
        <v>941</v>
      </c>
      <c r="B456" s="54" t="s">
        <v>942</v>
      </c>
      <c r="C456" s="38" t="s">
        <v>41</v>
      </c>
      <c r="D456" s="86">
        <v>161.47999999999999</v>
      </c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1.25" customHeight="1">
      <c r="A457" s="82" t="s">
        <v>943</v>
      </c>
      <c r="B457" s="55" t="s">
        <v>944</v>
      </c>
      <c r="C457" s="56" t="s">
        <v>41</v>
      </c>
      <c r="D457" s="88">
        <v>94</v>
      </c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1.25" customHeight="1">
      <c r="A458" s="82" t="s">
        <v>945</v>
      </c>
      <c r="B458" s="55" t="s">
        <v>946</v>
      </c>
      <c r="C458" s="56" t="s">
        <v>41</v>
      </c>
      <c r="D458" s="89">
        <v>50</v>
      </c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1.25" customHeight="1">
      <c r="A459" s="82" t="s">
        <v>947</v>
      </c>
      <c r="B459" s="55" t="s">
        <v>948</v>
      </c>
      <c r="C459" s="56" t="s">
        <v>41</v>
      </c>
      <c r="D459" s="89">
        <v>97</v>
      </c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1.25" customHeight="1">
      <c r="A460" s="82" t="s">
        <v>949</v>
      </c>
      <c r="B460" s="55" t="s">
        <v>950</v>
      </c>
      <c r="C460" s="56" t="s">
        <v>41</v>
      </c>
      <c r="D460" s="89">
        <v>47.18</v>
      </c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1.25" customHeight="1">
      <c r="A461" s="82" t="s">
        <v>951</v>
      </c>
      <c r="B461" s="54" t="s">
        <v>952</v>
      </c>
      <c r="C461" s="38" t="s">
        <v>41</v>
      </c>
      <c r="D461" s="86">
        <v>141</v>
      </c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1.25" customHeight="1">
      <c r="A462" s="82" t="s">
        <v>953</v>
      </c>
      <c r="B462" s="55" t="s">
        <v>954</v>
      </c>
      <c r="C462" s="56" t="s">
        <v>41</v>
      </c>
      <c r="D462" s="88">
        <v>89.11</v>
      </c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1.25" customHeight="1">
      <c r="A463" s="82" t="s">
        <v>955</v>
      </c>
      <c r="B463" s="55" t="s">
        <v>956</v>
      </c>
      <c r="C463" s="56" t="s">
        <v>41</v>
      </c>
      <c r="D463" s="89">
        <v>62.83</v>
      </c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1.25" customHeight="1">
      <c r="A464" s="82" t="s">
        <v>957</v>
      </c>
      <c r="B464" s="55" t="s">
        <v>958</v>
      </c>
      <c r="C464" s="56" t="s">
        <v>41</v>
      </c>
      <c r="D464" s="89">
        <v>147</v>
      </c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1.25" customHeight="1">
      <c r="A465" s="82" t="s">
        <v>959</v>
      </c>
      <c r="B465" s="55" t="s">
        <v>960</v>
      </c>
      <c r="C465" s="56" t="s">
        <v>41</v>
      </c>
      <c r="D465" s="89">
        <v>68</v>
      </c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1.25" customHeight="1">
      <c r="A466" s="82" t="s">
        <v>961</v>
      </c>
      <c r="B466" s="54" t="s">
        <v>962</v>
      </c>
      <c r="C466" s="38" t="s">
        <v>41</v>
      </c>
      <c r="D466" s="86">
        <v>141</v>
      </c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1.25" customHeight="1">
      <c r="A467" s="82" t="s">
        <v>963</v>
      </c>
      <c r="B467" s="54" t="s">
        <v>964</v>
      </c>
      <c r="C467" s="38" t="s">
        <v>41</v>
      </c>
      <c r="D467" s="86">
        <v>147.63</v>
      </c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1.25" customHeight="1">
      <c r="A468" s="82" t="s">
        <v>965</v>
      </c>
      <c r="B468" s="54" t="s">
        <v>966</v>
      </c>
      <c r="C468" s="38" t="s">
        <v>41</v>
      </c>
      <c r="D468" s="86">
        <v>73.8</v>
      </c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1.25" customHeight="1">
      <c r="A469" s="82" t="s">
        <v>967</v>
      </c>
      <c r="B469" s="54" t="s">
        <v>968</v>
      </c>
      <c r="C469" s="38" t="s">
        <v>41</v>
      </c>
      <c r="D469" s="86">
        <v>146.80000000000001</v>
      </c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1.25" customHeight="1">
      <c r="A470" s="82" t="s">
        <v>969</v>
      </c>
      <c r="B470" s="54" t="s">
        <v>970</v>
      </c>
      <c r="C470" s="38" t="s">
        <v>41</v>
      </c>
      <c r="D470" s="86">
        <v>94.37</v>
      </c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1.25" customHeight="1">
      <c r="A471" s="82" t="s">
        <v>971</v>
      </c>
      <c r="B471" s="54" t="s">
        <v>972</v>
      </c>
      <c r="C471" s="38" t="s">
        <v>41</v>
      </c>
      <c r="D471" s="86">
        <v>129</v>
      </c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1.25" customHeight="1">
      <c r="A472" s="82" t="s">
        <v>973</v>
      </c>
      <c r="B472" s="54" t="s">
        <v>974</v>
      </c>
      <c r="C472" s="38" t="s">
        <v>41</v>
      </c>
      <c r="D472" s="86">
        <v>415</v>
      </c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1.25" customHeight="1">
      <c r="A473" s="82" t="s">
        <v>975</v>
      </c>
      <c r="B473" s="54" t="s">
        <v>976</v>
      </c>
      <c r="C473" s="38" t="s">
        <v>41</v>
      </c>
      <c r="D473" s="85">
        <v>560</v>
      </c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1.25" customHeight="1">
      <c r="A474" s="82" t="s">
        <v>977</v>
      </c>
      <c r="B474" s="54" t="s">
        <v>978</v>
      </c>
      <c r="C474" s="38" t="s">
        <v>41</v>
      </c>
      <c r="D474" s="85">
        <v>193</v>
      </c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1.25" customHeight="1">
      <c r="A475" s="82" t="s">
        <v>979</v>
      </c>
      <c r="B475" s="54" t="s">
        <v>980</v>
      </c>
      <c r="C475" s="38" t="s">
        <v>41</v>
      </c>
      <c r="D475" s="86">
        <v>118</v>
      </c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1.25" customHeight="1">
      <c r="A476" s="82" t="s">
        <v>981</v>
      </c>
      <c r="B476" s="54" t="s">
        <v>982</v>
      </c>
      <c r="C476" s="38" t="s">
        <v>41</v>
      </c>
      <c r="D476" s="85">
        <v>680</v>
      </c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1.25" customHeight="1">
      <c r="A477" s="82" t="s">
        <v>983</v>
      </c>
      <c r="B477" s="54" t="s">
        <v>984</v>
      </c>
      <c r="C477" s="38" t="s">
        <v>41</v>
      </c>
      <c r="D477" s="85">
        <v>177</v>
      </c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1.25" customHeight="1">
      <c r="A478" s="82" t="s">
        <v>985</v>
      </c>
      <c r="B478" s="55" t="s">
        <v>986</v>
      </c>
      <c r="C478" s="56" t="s">
        <v>41</v>
      </c>
      <c r="D478" s="89">
        <v>98</v>
      </c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1.25" customHeight="1">
      <c r="A479" s="82" t="s">
        <v>987</v>
      </c>
      <c r="B479" s="54" t="s">
        <v>988</v>
      </c>
      <c r="C479" s="38" t="s">
        <v>41</v>
      </c>
      <c r="D479" s="86">
        <v>350</v>
      </c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1.25" customHeight="1">
      <c r="A480" s="82" t="s">
        <v>989</v>
      </c>
      <c r="B480" s="55" t="s">
        <v>990</v>
      </c>
      <c r="C480" s="56" t="s">
        <v>41</v>
      </c>
      <c r="D480" s="89">
        <v>163.41</v>
      </c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1.25" customHeight="1">
      <c r="A481" s="82" t="s">
        <v>991</v>
      </c>
      <c r="B481" s="55" t="s">
        <v>992</v>
      </c>
      <c r="C481" s="56" t="s">
        <v>41</v>
      </c>
      <c r="D481" s="88">
        <v>108.53</v>
      </c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1.25" customHeight="1">
      <c r="A482" s="82" t="s">
        <v>993</v>
      </c>
      <c r="B482" s="55" t="s">
        <v>994</v>
      </c>
      <c r="C482" s="56" t="s">
        <v>41</v>
      </c>
      <c r="D482" s="89">
        <v>176</v>
      </c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1.25" customHeight="1">
      <c r="A483" s="82" t="s">
        <v>995</v>
      </c>
      <c r="B483" s="55" t="s">
        <v>996</v>
      </c>
      <c r="C483" s="56" t="s">
        <v>41</v>
      </c>
      <c r="D483" s="88">
        <v>115.34</v>
      </c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1.25" customHeight="1">
      <c r="A484" s="82" t="s">
        <v>997</v>
      </c>
      <c r="B484" s="54" t="s">
        <v>998</v>
      </c>
      <c r="C484" s="38" t="s">
        <v>41</v>
      </c>
      <c r="D484" s="86">
        <v>260.33</v>
      </c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1.25" customHeight="1">
      <c r="A485" s="82" t="s">
        <v>999</v>
      </c>
      <c r="B485" s="55" t="s">
        <v>1000</v>
      </c>
      <c r="C485" s="56" t="s">
        <v>41</v>
      </c>
      <c r="D485" s="88">
        <v>209.72</v>
      </c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1.25" customHeight="1">
      <c r="A486" s="82" t="s">
        <v>1001</v>
      </c>
      <c r="B486" s="55" t="s">
        <v>1002</v>
      </c>
      <c r="C486" s="56" t="s">
        <v>41</v>
      </c>
      <c r="D486" s="89">
        <v>136</v>
      </c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1.25" customHeight="1">
      <c r="A487" s="82" t="s">
        <v>1003</v>
      </c>
      <c r="B487" s="55" t="s">
        <v>1004</v>
      </c>
      <c r="C487" s="56" t="s">
        <v>41</v>
      </c>
      <c r="D487" s="89">
        <v>230.69</v>
      </c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1.25" customHeight="1">
      <c r="A488" s="82" t="s">
        <v>1005</v>
      </c>
      <c r="B488" s="55" t="s">
        <v>1006</v>
      </c>
      <c r="C488" s="56" t="s">
        <v>41</v>
      </c>
      <c r="D488" s="89">
        <v>131.07499999999999</v>
      </c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1.25" customHeight="1">
      <c r="A489" s="82" t="s">
        <v>1007</v>
      </c>
      <c r="B489" s="54" t="s">
        <v>1008</v>
      </c>
      <c r="C489" s="38" t="s">
        <v>41</v>
      </c>
      <c r="D489" s="86">
        <v>251</v>
      </c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1.25" customHeight="1">
      <c r="A490" s="82" t="s">
        <v>1009</v>
      </c>
      <c r="B490" s="54" t="s">
        <v>1010</v>
      </c>
      <c r="C490" s="38" t="s">
        <v>41</v>
      </c>
      <c r="D490" s="85">
        <v>220.2</v>
      </c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1.25" customHeight="1">
      <c r="A491" s="82" t="s">
        <v>1011</v>
      </c>
      <c r="B491" s="54" t="s">
        <v>1012</v>
      </c>
      <c r="C491" s="38" t="s">
        <v>41</v>
      </c>
      <c r="D491" s="86">
        <v>167</v>
      </c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1.25" customHeight="1">
      <c r="A492" s="82" t="s">
        <v>1013</v>
      </c>
      <c r="B492" s="54" t="s">
        <v>1014</v>
      </c>
      <c r="C492" s="38" t="s">
        <v>41</v>
      </c>
      <c r="D492" s="86">
        <v>262.14999999999998</v>
      </c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1.25" customHeight="1">
      <c r="A493" s="82" t="s">
        <v>1015</v>
      </c>
      <c r="B493" s="54" t="s">
        <v>1016</v>
      </c>
      <c r="C493" s="38" t="s">
        <v>41</v>
      </c>
      <c r="D493" s="86">
        <v>188.74</v>
      </c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1.25" customHeight="1">
      <c r="A494" s="82" t="s">
        <v>1017</v>
      </c>
      <c r="B494" s="54" t="s">
        <v>1018</v>
      </c>
      <c r="C494" s="38" t="s">
        <v>41</v>
      </c>
      <c r="D494" s="86">
        <v>207.6</v>
      </c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1.25" customHeight="1">
      <c r="A495" s="82" t="s">
        <v>1019</v>
      </c>
      <c r="B495" s="54" t="s">
        <v>1020</v>
      </c>
      <c r="C495" s="38" t="s">
        <v>41</v>
      </c>
      <c r="D495" s="85">
        <v>512.78</v>
      </c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1.25" customHeight="1">
      <c r="A496" s="82" t="s">
        <v>1021</v>
      </c>
      <c r="B496" s="55" t="s">
        <v>1022</v>
      </c>
      <c r="C496" s="56" t="s">
        <v>41</v>
      </c>
      <c r="D496" s="88">
        <v>14134.44</v>
      </c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1.25" customHeight="1">
      <c r="A497" s="82" t="s">
        <v>1023</v>
      </c>
      <c r="B497" s="54" t="s">
        <v>1024</v>
      </c>
      <c r="C497" s="38" t="s">
        <v>41</v>
      </c>
      <c r="D497" s="87">
        <v>982</v>
      </c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1.25" customHeight="1">
      <c r="A498" s="82" t="s">
        <v>1025</v>
      </c>
      <c r="B498" s="54" t="s">
        <v>1026</v>
      </c>
      <c r="C498" s="38" t="s">
        <v>41</v>
      </c>
      <c r="D498" s="87">
        <v>1194.6199999999999</v>
      </c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1.25" customHeight="1">
      <c r="A499" s="82" t="s">
        <v>1027</v>
      </c>
      <c r="B499" s="54" t="s">
        <v>1028</v>
      </c>
      <c r="C499" s="38" t="s">
        <v>41</v>
      </c>
      <c r="D499" s="87">
        <v>1193.32</v>
      </c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1.25" customHeight="1">
      <c r="A500" s="82" t="s">
        <v>1029</v>
      </c>
      <c r="B500" s="55" t="s">
        <v>1030</v>
      </c>
      <c r="C500" s="56" t="s">
        <v>41</v>
      </c>
      <c r="D500" s="88">
        <v>660.81</v>
      </c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1.25" customHeight="1">
      <c r="A501" s="82" t="s">
        <v>1031</v>
      </c>
      <c r="B501" s="55" t="s">
        <v>1032</v>
      </c>
      <c r="C501" s="56" t="s">
        <v>41</v>
      </c>
      <c r="D501" s="88">
        <v>654.16999999999996</v>
      </c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1.25" customHeight="1">
      <c r="A502" s="82" t="s">
        <v>1033</v>
      </c>
      <c r="B502" s="55" t="s">
        <v>1034</v>
      </c>
      <c r="C502" s="56" t="s">
        <v>41</v>
      </c>
      <c r="D502" s="88">
        <v>642.22</v>
      </c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1.25" customHeight="1">
      <c r="A503" s="82" t="s">
        <v>1035</v>
      </c>
      <c r="B503" s="55" t="s">
        <v>1036</v>
      </c>
      <c r="C503" s="56" t="s">
        <v>41</v>
      </c>
      <c r="D503" s="90">
        <v>644.61</v>
      </c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1.25" customHeight="1">
      <c r="A504" s="82" t="s">
        <v>1037</v>
      </c>
      <c r="B504" s="54" t="s">
        <v>1038</v>
      </c>
      <c r="C504" s="38" t="s">
        <v>41</v>
      </c>
      <c r="D504" s="86">
        <v>720.25</v>
      </c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1.25" customHeight="1">
      <c r="A505" s="82" t="s">
        <v>1039</v>
      </c>
      <c r="B505" s="54" t="s">
        <v>1040</v>
      </c>
      <c r="C505" s="38" t="s">
        <v>41</v>
      </c>
      <c r="D505" s="86">
        <v>2093.64</v>
      </c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1.25" customHeight="1">
      <c r="A506" s="82" t="s">
        <v>1041</v>
      </c>
      <c r="B506" s="54" t="s">
        <v>1042</v>
      </c>
      <c r="C506" s="38" t="s">
        <v>41</v>
      </c>
      <c r="D506" s="86">
        <v>4171.6400000000003</v>
      </c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1.25" customHeight="1">
      <c r="A507" s="82" t="s">
        <v>1043</v>
      </c>
      <c r="B507" s="55" t="s">
        <v>1044</v>
      </c>
      <c r="C507" s="56" t="s">
        <v>41</v>
      </c>
      <c r="D507" s="88">
        <v>6190.34</v>
      </c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1.25" customHeight="1">
      <c r="A508" s="82" t="s">
        <v>1045</v>
      </c>
      <c r="B508" s="55" t="s">
        <v>1046</v>
      </c>
      <c r="C508" s="56" t="s">
        <v>41</v>
      </c>
      <c r="D508" s="88">
        <v>8094.94</v>
      </c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1.25" customHeight="1">
      <c r="A509" s="82" t="s">
        <v>1047</v>
      </c>
      <c r="B509" s="54" t="s">
        <v>1048</v>
      </c>
      <c r="C509" s="38" t="s">
        <v>41</v>
      </c>
      <c r="D509" s="85">
        <v>0</v>
      </c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1.25" customHeight="1">
      <c r="A510" s="82" t="s">
        <v>1049</v>
      </c>
      <c r="B510" s="54" t="s">
        <v>1050</v>
      </c>
      <c r="C510" s="38" t="s">
        <v>41</v>
      </c>
      <c r="D510" s="86">
        <v>10</v>
      </c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1.25" customHeight="1">
      <c r="A511" s="82" t="s">
        <v>1051</v>
      </c>
      <c r="B511" s="54" t="s">
        <v>1052</v>
      </c>
      <c r="C511" s="38" t="s">
        <v>41</v>
      </c>
      <c r="D511" s="85">
        <v>181.4</v>
      </c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1.25" customHeight="1">
      <c r="A512" s="82" t="s">
        <v>1053</v>
      </c>
      <c r="B512" s="54" t="s">
        <v>1054</v>
      </c>
      <c r="C512" s="38" t="s">
        <v>41</v>
      </c>
      <c r="D512" s="85">
        <v>245.4</v>
      </c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1.25" customHeight="1">
      <c r="A513" s="82" t="s">
        <v>1055</v>
      </c>
      <c r="B513" s="54" t="s">
        <v>1056</v>
      </c>
      <c r="C513" s="38" t="s">
        <v>41</v>
      </c>
      <c r="D513" s="85">
        <v>284.39999999999998</v>
      </c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1.25" customHeight="1">
      <c r="A514" s="82" t="s">
        <v>1057</v>
      </c>
      <c r="B514" s="55" t="s">
        <v>1058</v>
      </c>
      <c r="C514" s="56" t="s">
        <v>41</v>
      </c>
      <c r="D514" s="89">
        <v>829.22</v>
      </c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1.25" customHeight="1">
      <c r="A515" s="82" t="s">
        <v>1059</v>
      </c>
      <c r="B515" s="54" t="s">
        <v>1060</v>
      </c>
      <c r="C515" s="38" t="s">
        <v>41</v>
      </c>
      <c r="D515" s="87">
        <v>44</v>
      </c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1.25" customHeight="1">
      <c r="A516" s="82" t="s">
        <v>1061</v>
      </c>
      <c r="B516" s="54" t="s">
        <v>1062</v>
      </c>
      <c r="C516" s="38" t="s">
        <v>41</v>
      </c>
      <c r="D516" s="87">
        <v>44</v>
      </c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1.25" customHeight="1">
      <c r="A517" s="82" t="s">
        <v>1063</v>
      </c>
      <c r="B517" s="54" t="s">
        <v>1064</v>
      </c>
      <c r="C517" s="38" t="s">
        <v>41</v>
      </c>
      <c r="D517" s="87">
        <v>44</v>
      </c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1.25" customHeight="1">
      <c r="A518" s="82" t="s">
        <v>1065</v>
      </c>
      <c r="B518" s="54" t="s">
        <v>1066</v>
      </c>
      <c r="C518" s="38" t="s">
        <v>41</v>
      </c>
      <c r="D518" s="87">
        <v>29.57</v>
      </c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1.25" customHeight="1">
      <c r="A519" s="82" t="s">
        <v>1067</v>
      </c>
      <c r="B519" s="54" t="s">
        <v>1068</v>
      </c>
      <c r="C519" s="38" t="s">
        <v>41</v>
      </c>
      <c r="D519" s="87">
        <v>44</v>
      </c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1.25" customHeight="1">
      <c r="A520" s="82" t="s">
        <v>1069</v>
      </c>
      <c r="B520" s="54" t="s">
        <v>1070</v>
      </c>
      <c r="C520" s="38" t="s">
        <v>41</v>
      </c>
      <c r="D520" s="87">
        <v>44</v>
      </c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1.25" customHeight="1">
      <c r="A521" s="82" t="s">
        <v>1071</v>
      </c>
      <c r="B521" s="54" t="s">
        <v>1072</v>
      </c>
      <c r="C521" s="38" t="s">
        <v>41</v>
      </c>
      <c r="D521" s="87">
        <v>44</v>
      </c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1.25" customHeight="1">
      <c r="A522" s="82" t="s">
        <v>1073</v>
      </c>
      <c r="B522" s="54" t="s">
        <v>1074</v>
      </c>
      <c r="C522" s="38" t="s">
        <v>41</v>
      </c>
      <c r="D522" s="85">
        <v>54.57</v>
      </c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1.25" customHeight="1">
      <c r="A523" s="82" t="s">
        <v>1075</v>
      </c>
      <c r="B523" s="54" t="s">
        <v>1076</v>
      </c>
      <c r="C523" s="38" t="s">
        <v>41</v>
      </c>
      <c r="D523" s="86">
        <v>89.05</v>
      </c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1.25" customHeight="1">
      <c r="A524" s="82" t="s">
        <v>1077</v>
      </c>
      <c r="B524" s="54" t="s">
        <v>1078</v>
      </c>
      <c r="C524" s="38" t="s">
        <v>41</v>
      </c>
      <c r="D524" s="87">
        <v>29.59</v>
      </c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1.25" customHeight="1">
      <c r="A525" s="82" t="s">
        <v>1079</v>
      </c>
      <c r="B525" s="54" t="s">
        <v>1080</v>
      </c>
      <c r="C525" s="38" t="s">
        <v>41</v>
      </c>
      <c r="D525" s="87">
        <v>60</v>
      </c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1.25" customHeight="1">
      <c r="A526" s="82" t="s">
        <v>1081</v>
      </c>
      <c r="B526" s="54" t="s">
        <v>1082</v>
      </c>
      <c r="C526" s="38" t="s">
        <v>41</v>
      </c>
      <c r="D526" s="87">
        <v>23.06</v>
      </c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1.25" customHeight="1">
      <c r="A527" s="82" t="s">
        <v>1083</v>
      </c>
      <c r="B527" s="54" t="s">
        <v>1084</v>
      </c>
      <c r="C527" s="38" t="s">
        <v>41</v>
      </c>
      <c r="D527" s="87">
        <v>26</v>
      </c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1.25" customHeight="1">
      <c r="A528" s="82" t="s">
        <v>1085</v>
      </c>
      <c r="B528" s="54" t="s">
        <v>1086</v>
      </c>
      <c r="C528" s="38" t="s">
        <v>41</v>
      </c>
      <c r="D528" s="87">
        <v>80</v>
      </c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1.25" customHeight="1">
      <c r="A529" s="82" t="s">
        <v>1087</v>
      </c>
      <c r="B529" s="54" t="s">
        <v>1088</v>
      </c>
      <c r="C529" s="38" t="s">
        <v>41</v>
      </c>
      <c r="D529" s="85">
        <v>13</v>
      </c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1.25" customHeight="1">
      <c r="A530" s="82" t="s">
        <v>1089</v>
      </c>
      <c r="B530" s="55" t="s">
        <v>1090</v>
      </c>
      <c r="C530" s="56" t="s">
        <v>41</v>
      </c>
      <c r="D530" s="90">
        <v>603</v>
      </c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1.25" customHeight="1">
      <c r="A531" s="82" t="s">
        <v>1091</v>
      </c>
      <c r="B531" s="55" t="s">
        <v>1092</v>
      </c>
      <c r="C531" s="56" t="s">
        <v>41</v>
      </c>
      <c r="D531" s="90">
        <v>1205</v>
      </c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1.25" customHeight="1">
      <c r="A532" s="82" t="s">
        <v>1093</v>
      </c>
      <c r="B532" s="55" t="s">
        <v>1094</v>
      </c>
      <c r="C532" s="56" t="s">
        <v>41</v>
      </c>
      <c r="D532" s="90">
        <v>1205</v>
      </c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1.25" customHeight="1">
      <c r="A533" s="82" t="s">
        <v>1095</v>
      </c>
      <c r="B533" s="54" t="s">
        <v>1096</v>
      </c>
      <c r="C533" s="38" t="s">
        <v>41</v>
      </c>
      <c r="D533" s="87">
        <v>9.31</v>
      </c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1.25" customHeight="1">
      <c r="A534" s="82" t="s">
        <v>1097</v>
      </c>
      <c r="B534" s="54" t="s">
        <v>1098</v>
      </c>
      <c r="C534" s="38" t="s">
        <v>41</v>
      </c>
      <c r="D534" s="87">
        <v>2.94</v>
      </c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1.25" customHeight="1">
      <c r="A535" s="82" t="s">
        <v>1099</v>
      </c>
      <c r="B535" s="54" t="s">
        <v>1100</v>
      </c>
      <c r="C535" s="38" t="s">
        <v>41</v>
      </c>
      <c r="D535" s="87">
        <v>5.68</v>
      </c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1.25" customHeight="1">
      <c r="A536" s="82" t="s">
        <v>1101</v>
      </c>
      <c r="B536" s="54" t="s">
        <v>1102</v>
      </c>
      <c r="C536" s="38" t="s">
        <v>41</v>
      </c>
      <c r="D536" s="86">
        <v>62</v>
      </c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1.25" customHeight="1">
      <c r="A537" s="82" t="s">
        <v>1103</v>
      </c>
      <c r="B537" s="55" t="s">
        <v>1104</v>
      </c>
      <c r="C537" s="56" t="s">
        <v>41</v>
      </c>
      <c r="D537" s="90">
        <v>1548</v>
      </c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1.25" customHeight="1">
      <c r="A538" s="82" t="s">
        <v>1105</v>
      </c>
      <c r="B538" s="54" t="s">
        <v>1106</v>
      </c>
      <c r="C538" s="38" t="s">
        <v>41</v>
      </c>
      <c r="D538" s="87">
        <v>767</v>
      </c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1.25" customHeight="1">
      <c r="A539" s="82" t="s">
        <v>1107</v>
      </c>
      <c r="B539" s="54" t="s">
        <v>1108</v>
      </c>
      <c r="C539" s="38" t="s">
        <v>522</v>
      </c>
      <c r="D539" s="86">
        <v>19</v>
      </c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1.25" customHeight="1">
      <c r="A540" s="82" t="s">
        <v>1109</v>
      </c>
      <c r="B540" s="54" t="s">
        <v>1110</v>
      </c>
      <c r="C540" s="38" t="s">
        <v>522</v>
      </c>
      <c r="D540" s="85">
        <v>23.68</v>
      </c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1.25" customHeight="1">
      <c r="A541" s="82" t="s">
        <v>1111</v>
      </c>
      <c r="B541" s="54" t="s">
        <v>1112</v>
      </c>
      <c r="C541" s="38" t="s">
        <v>41</v>
      </c>
      <c r="D541" s="86">
        <v>18</v>
      </c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1.25" customHeight="1">
      <c r="A542" s="82" t="s">
        <v>1113</v>
      </c>
      <c r="B542" s="54" t="s">
        <v>1114</v>
      </c>
      <c r="C542" s="38" t="s">
        <v>41</v>
      </c>
      <c r="D542" s="86">
        <v>24</v>
      </c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1.25" customHeight="1">
      <c r="A543" s="82" t="s">
        <v>1115</v>
      </c>
      <c r="B543" s="54" t="s">
        <v>1116</v>
      </c>
      <c r="C543" s="38" t="s">
        <v>41</v>
      </c>
      <c r="D543" s="85">
        <v>18</v>
      </c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1.25" customHeight="1">
      <c r="A544" s="82" t="s">
        <v>1117</v>
      </c>
      <c r="B544" s="54" t="s">
        <v>1118</v>
      </c>
      <c r="C544" s="38" t="s">
        <v>41</v>
      </c>
      <c r="D544" s="87">
        <v>74</v>
      </c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1.25" customHeight="1">
      <c r="A545" s="82" t="s">
        <v>1119</v>
      </c>
      <c r="B545" s="54" t="s">
        <v>1120</v>
      </c>
      <c r="C545" s="38" t="s">
        <v>41</v>
      </c>
      <c r="D545" s="86">
        <v>0</v>
      </c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1.25" customHeight="1">
      <c r="A546" s="82" t="s">
        <v>1121</v>
      </c>
      <c r="B546" s="54" t="s">
        <v>1122</v>
      </c>
      <c r="C546" s="38" t="s">
        <v>41</v>
      </c>
      <c r="D546" s="87">
        <v>4.1900000000000004</v>
      </c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1.25" customHeight="1">
      <c r="A547" s="82" t="s">
        <v>1123</v>
      </c>
      <c r="B547" s="54" t="s">
        <v>1124</v>
      </c>
      <c r="C547" s="38" t="s">
        <v>41</v>
      </c>
      <c r="D547" s="87">
        <v>34.68</v>
      </c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1.25" customHeight="1">
      <c r="A548" s="82" t="s">
        <v>1125</v>
      </c>
      <c r="B548" s="54" t="s">
        <v>1126</v>
      </c>
      <c r="C548" s="38" t="s">
        <v>41</v>
      </c>
      <c r="D548" s="87">
        <v>370</v>
      </c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1.25" customHeight="1">
      <c r="A549" s="82" t="s">
        <v>1127</v>
      </c>
      <c r="B549" s="54" t="s">
        <v>1128</v>
      </c>
      <c r="C549" s="38" t="s">
        <v>41</v>
      </c>
      <c r="D549" s="87">
        <v>236.44</v>
      </c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1.25" customHeight="1">
      <c r="A550" s="82" t="s">
        <v>1129</v>
      </c>
      <c r="B550" s="54" t="s">
        <v>1128</v>
      </c>
      <c r="C550" s="38" t="s">
        <v>41</v>
      </c>
      <c r="D550" s="87">
        <v>236.44</v>
      </c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1.25" customHeight="1">
      <c r="A551" s="82" t="s">
        <v>1130</v>
      </c>
      <c r="B551" s="54" t="s">
        <v>1131</v>
      </c>
      <c r="C551" s="38" t="s">
        <v>41</v>
      </c>
      <c r="D551" s="87">
        <v>261.86</v>
      </c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1.25" customHeight="1">
      <c r="A552" s="82" t="s">
        <v>1132</v>
      </c>
      <c r="B552" s="54" t="s">
        <v>1133</v>
      </c>
      <c r="C552" s="38" t="s">
        <v>41</v>
      </c>
      <c r="D552" s="87">
        <v>372</v>
      </c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1.25" customHeight="1">
      <c r="A553" s="82" t="s">
        <v>1134</v>
      </c>
      <c r="B553" s="54" t="s">
        <v>1135</v>
      </c>
      <c r="C553" s="38" t="s">
        <v>41</v>
      </c>
      <c r="D553" s="86">
        <v>406</v>
      </c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1.25" customHeight="1">
      <c r="A554" s="82" t="s">
        <v>1136</v>
      </c>
      <c r="B554" s="54" t="s">
        <v>1137</v>
      </c>
      <c r="C554" s="38" t="s">
        <v>41</v>
      </c>
      <c r="D554" s="87">
        <v>1.04</v>
      </c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1.25" customHeight="1">
      <c r="A555" s="82" t="s">
        <v>1138</v>
      </c>
      <c r="B555" s="54" t="s">
        <v>1139</v>
      </c>
      <c r="C555" s="38" t="s">
        <v>41</v>
      </c>
      <c r="D555" s="86">
        <v>13.99</v>
      </c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1.25" customHeight="1">
      <c r="A556" s="82" t="s">
        <v>1140</v>
      </c>
      <c r="B556" s="54" t="s">
        <v>1141</v>
      </c>
      <c r="C556" s="38" t="s">
        <v>41</v>
      </c>
      <c r="D556" s="87">
        <v>13.63</v>
      </c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1.25" customHeight="1">
      <c r="A557" s="82" t="s">
        <v>1142</v>
      </c>
      <c r="B557" s="54" t="s">
        <v>1143</v>
      </c>
      <c r="C557" s="38" t="s">
        <v>41</v>
      </c>
      <c r="D557" s="86">
        <v>0.98</v>
      </c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1.25" customHeight="1">
      <c r="A558" s="82" t="s">
        <v>1144</v>
      </c>
      <c r="B558" s="54" t="s">
        <v>1145</v>
      </c>
      <c r="C558" s="38" t="s">
        <v>41</v>
      </c>
      <c r="D558" s="85">
        <v>7</v>
      </c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1.25" customHeight="1">
      <c r="A559" s="82" t="s">
        <v>1146</v>
      </c>
      <c r="B559" s="54" t="s">
        <v>1147</v>
      </c>
      <c r="C559" s="38" t="s">
        <v>41</v>
      </c>
      <c r="D559" s="85">
        <v>7</v>
      </c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1.25" customHeight="1">
      <c r="A560" s="82" t="s">
        <v>1148</v>
      </c>
      <c r="B560" s="54" t="s">
        <v>1149</v>
      </c>
      <c r="C560" s="38" t="s">
        <v>41</v>
      </c>
      <c r="D560" s="86">
        <v>1.47</v>
      </c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1.25" customHeight="1">
      <c r="A561" s="82" t="s">
        <v>1150</v>
      </c>
      <c r="B561" s="54" t="s">
        <v>1151</v>
      </c>
      <c r="C561" s="38" t="s">
        <v>41</v>
      </c>
      <c r="D561" s="86">
        <v>11</v>
      </c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1.25" customHeight="1">
      <c r="A562" s="82" t="s">
        <v>1152</v>
      </c>
      <c r="B562" s="54" t="s">
        <v>1153</v>
      </c>
      <c r="C562" s="38" t="s">
        <v>41</v>
      </c>
      <c r="D562" s="87">
        <v>11</v>
      </c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1.25" customHeight="1">
      <c r="A563" s="82" t="s">
        <v>1154</v>
      </c>
      <c r="B563" s="55" t="s">
        <v>1155</v>
      </c>
      <c r="C563" s="56" t="s">
        <v>41</v>
      </c>
      <c r="D563" s="90">
        <v>0.12</v>
      </c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1.25" customHeight="1">
      <c r="A564" s="82" t="s">
        <v>1156</v>
      </c>
      <c r="B564" s="55" t="s">
        <v>1157</v>
      </c>
      <c r="C564" s="56" t="s">
        <v>41</v>
      </c>
      <c r="D564" s="90">
        <v>0.124</v>
      </c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1.25" customHeight="1">
      <c r="A565" s="82" t="s">
        <v>1158</v>
      </c>
      <c r="B565" s="55" t="s">
        <v>1159</v>
      </c>
      <c r="C565" s="56" t="s">
        <v>41</v>
      </c>
      <c r="D565" s="90">
        <v>0.17</v>
      </c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1.25" customHeight="1">
      <c r="A566" s="82" t="s">
        <v>1160</v>
      </c>
      <c r="B566" s="55" t="s">
        <v>1161</v>
      </c>
      <c r="C566" s="56" t="s">
        <v>41</v>
      </c>
      <c r="D566" s="90">
        <v>0.19</v>
      </c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1.25" customHeight="1">
      <c r="A567" s="82" t="s">
        <v>1162</v>
      </c>
      <c r="B567" s="55" t="s">
        <v>1163</v>
      </c>
      <c r="C567" s="56" t="s">
        <v>41</v>
      </c>
      <c r="D567" s="90">
        <v>1.76</v>
      </c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1.25" customHeight="1">
      <c r="A568" s="82" t="s">
        <v>1164</v>
      </c>
      <c r="B568" s="55" t="s">
        <v>1165</v>
      </c>
      <c r="C568" s="56" t="s">
        <v>41</v>
      </c>
      <c r="D568" s="89">
        <v>2.4500000000000002</v>
      </c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1.25" customHeight="1">
      <c r="A569" s="82" t="s">
        <v>1166</v>
      </c>
      <c r="B569" s="54" t="s">
        <v>1167</v>
      </c>
      <c r="C569" s="38" t="s">
        <v>41</v>
      </c>
      <c r="D569" s="85">
        <v>4.97</v>
      </c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1.25" customHeight="1">
      <c r="A570" s="82" t="s">
        <v>1168</v>
      </c>
      <c r="B570" s="54" t="s">
        <v>1169</v>
      </c>
      <c r="C570" s="38" t="s">
        <v>41</v>
      </c>
      <c r="D570" s="85">
        <v>5.05</v>
      </c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1.25" customHeight="1">
      <c r="A571" s="82" t="s">
        <v>1170</v>
      </c>
      <c r="B571" s="54" t="s">
        <v>1171</v>
      </c>
      <c r="C571" s="38" t="s">
        <v>41</v>
      </c>
      <c r="D571" s="85">
        <v>7.5</v>
      </c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1.25" customHeight="1">
      <c r="A572" s="82" t="s">
        <v>1172</v>
      </c>
      <c r="B572" s="54" t="s">
        <v>1173</v>
      </c>
      <c r="C572" s="38" t="s">
        <v>215</v>
      </c>
      <c r="D572" s="86">
        <v>150</v>
      </c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1.25" customHeight="1">
      <c r="A573" s="82" t="s">
        <v>1174</v>
      </c>
      <c r="B573" s="54" t="s">
        <v>1175</v>
      </c>
      <c r="C573" s="38" t="s">
        <v>41</v>
      </c>
      <c r="D573" s="86">
        <v>56.2</v>
      </c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1.25" customHeight="1">
      <c r="A574" s="82" t="s">
        <v>1176</v>
      </c>
      <c r="B574" s="54" t="s">
        <v>1177</v>
      </c>
      <c r="C574" s="38" t="s">
        <v>41</v>
      </c>
      <c r="D574" s="87">
        <v>78</v>
      </c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1.25" customHeight="1">
      <c r="A575" s="82" t="s">
        <v>1178</v>
      </c>
      <c r="B575" s="54" t="s">
        <v>1179</v>
      </c>
      <c r="C575" s="38" t="s">
        <v>41</v>
      </c>
      <c r="D575" s="87">
        <v>48.2</v>
      </c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1.25" customHeight="1">
      <c r="A576" s="82" t="s">
        <v>1180</v>
      </c>
      <c r="B576" s="54" t="s">
        <v>1181</v>
      </c>
      <c r="C576" s="38" t="s">
        <v>41</v>
      </c>
      <c r="D576" s="87">
        <v>49.78</v>
      </c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1.25" customHeight="1">
      <c r="A577" s="82" t="s">
        <v>1182</v>
      </c>
      <c r="B577" s="54" t="s">
        <v>1183</v>
      </c>
      <c r="C577" s="38" t="s">
        <v>41</v>
      </c>
      <c r="D577" s="87">
        <v>44</v>
      </c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1.25" customHeight="1">
      <c r="A578" s="82" t="s">
        <v>1184</v>
      </c>
      <c r="B578" s="54" t="s">
        <v>1185</v>
      </c>
      <c r="C578" s="38" t="s">
        <v>41</v>
      </c>
      <c r="D578" s="85">
        <v>78.64</v>
      </c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1.25" customHeight="1">
      <c r="A579" s="82" t="s">
        <v>1186</v>
      </c>
      <c r="B579" s="54" t="s">
        <v>1187</v>
      </c>
      <c r="C579" s="38" t="s">
        <v>41</v>
      </c>
      <c r="D579" s="86">
        <v>171</v>
      </c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1.25" customHeight="1">
      <c r="A580" s="82" t="s">
        <v>1188</v>
      </c>
      <c r="B580" s="54" t="s">
        <v>1189</v>
      </c>
      <c r="C580" s="38" t="s">
        <v>41</v>
      </c>
      <c r="D580" s="85">
        <v>164</v>
      </c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1.25" customHeight="1">
      <c r="A581" s="82" t="s">
        <v>1190</v>
      </c>
      <c r="B581" s="54" t="s">
        <v>1191</v>
      </c>
      <c r="C581" s="38" t="s">
        <v>41</v>
      </c>
      <c r="D581" s="86">
        <v>180</v>
      </c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1.25" customHeight="1">
      <c r="A582" s="82" t="s">
        <v>1192</v>
      </c>
      <c r="B582" s="54" t="s">
        <v>1193</v>
      </c>
      <c r="C582" s="38" t="s">
        <v>41</v>
      </c>
      <c r="D582" s="86">
        <v>12.18</v>
      </c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1.25" customHeight="1">
      <c r="A583" s="82" t="s">
        <v>1194</v>
      </c>
      <c r="B583" s="54" t="s">
        <v>1195</v>
      </c>
      <c r="C583" s="38" t="s">
        <v>41</v>
      </c>
      <c r="D583" s="85">
        <v>28.31</v>
      </c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1.25" customHeight="1">
      <c r="A584" s="82" t="s">
        <v>1196</v>
      </c>
      <c r="B584" s="54" t="s">
        <v>1197</v>
      </c>
      <c r="C584" s="38" t="s">
        <v>41</v>
      </c>
      <c r="D584" s="85">
        <v>18.87</v>
      </c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1.25" customHeight="1">
      <c r="A585" s="82" t="s">
        <v>1198</v>
      </c>
      <c r="B585" s="54" t="s">
        <v>1199</v>
      </c>
      <c r="C585" s="38" t="s">
        <v>41</v>
      </c>
      <c r="D585" s="86">
        <v>38</v>
      </c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1.25" customHeight="1">
      <c r="A586" s="82" t="s">
        <v>1200</v>
      </c>
      <c r="B586" s="54" t="s">
        <v>1201</v>
      </c>
      <c r="C586" s="38" t="s">
        <v>41</v>
      </c>
      <c r="D586" s="85">
        <v>641.5</v>
      </c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1.25" customHeight="1">
      <c r="A587" s="82" t="s">
        <v>1202</v>
      </c>
      <c r="B587" s="54" t="s">
        <v>1203</v>
      </c>
      <c r="C587" s="38" t="s">
        <v>41</v>
      </c>
      <c r="D587" s="87">
        <v>0</v>
      </c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1.25" customHeight="1">
      <c r="A588" s="82" t="s">
        <v>1204</v>
      </c>
      <c r="B588" s="54" t="s">
        <v>1205</v>
      </c>
      <c r="C588" s="38" t="s">
        <v>41</v>
      </c>
      <c r="D588" s="86">
        <v>0</v>
      </c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1.25" customHeight="1">
      <c r="A589" s="82" t="s">
        <v>1206</v>
      </c>
      <c r="B589" s="54" t="s">
        <v>1207</v>
      </c>
      <c r="C589" s="38" t="s">
        <v>41</v>
      </c>
      <c r="D589" s="85">
        <v>0</v>
      </c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1.25" customHeight="1">
      <c r="A590" s="82" t="s">
        <v>1208</v>
      </c>
      <c r="B590" s="54" t="s">
        <v>1209</v>
      </c>
      <c r="C590" s="38" t="s">
        <v>41</v>
      </c>
      <c r="D590" s="85">
        <v>2533.9</v>
      </c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1.25" customHeight="1">
      <c r="A591" s="82" t="s">
        <v>1210</v>
      </c>
      <c r="B591" s="54" t="s">
        <v>1211</v>
      </c>
      <c r="C591" s="38" t="s">
        <v>41</v>
      </c>
      <c r="D591" s="86">
        <v>1175.2</v>
      </c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1.25" customHeight="1">
      <c r="A592" s="82" t="s">
        <v>1212</v>
      </c>
      <c r="B592" s="54" t="s">
        <v>1213</v>
      </c>
      <c r="C592" s="38" t="s">
        <v>41</v>
      </c>
      <c r="D592" s="86">
        <v>1476.48</v>
      </c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1.25" customHeight="1">
      <c r="A593" s="82" t="s">
        <v>1214</v>
      </c>
      <c r="B593" s="54" t="s">
        <v>1215</v>
      </c>
      <c r="C593" s="38" t="s">
        <v>41</v>
      </c>
      <c r="D593" s="87">
        <v>2135.59</v>
      </c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1.25" customHeight="1">
      <c r="A594" s="82" t="s">
        <v>1216</v>
      </c>
      <c r="B594" s="54" t="s">
        <v>1217</v>
      </c>
      <c r="C594" s="38" t="s">
        <v>41</v>
      </c>
      <c r="D594" s="86">
        <v>104.86</v>
      </c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1.25" customHeight="1">
      <c r="A595" s="82" t="s">
        <v>1218</v>
      </c>
      <c r="B595" s="54" t="s">
        <v>1219</v>
      </c>
      <c r="C595" s="38" t="s">
        <v>41</v>
      </c>
      <c r="D595" s="86">
        <v>113</v>
      </c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1.25" customHeight="1">
      <c r="A596" s="82" t="s">
        <v>1220</v>
      </c>
      <c r="B596" s="54" t="s">
        <v>1221</v>
      </c>
      <c r="C596" s="38" t="s">
        <v>41</v>
      </c>
      <c r="D596" s="86">
        <v>125</v>
      </c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1.25" customHeight="1">
      <c r="A597" s="82" t="s">
        <v>1222</v>
      </c>
      <c r="B597" s="54" t="s">
        <v>1223</v>
      </c>
      <c r="C597" s="38" t="s">
        <v>41</v>
      </c>
      <c r="D597" s="87">
        <v>78.64</v>
      </c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1.25" customHeight="1">
      <c r="A598" s="82" t="s">
        <v>1224</v>
      </c>
      <c r="B598" s="54" t="s">
        <v>1225</v>
      </c>
      <c r="C598" s="38" t="s">
        <v>41</v>
      </c>
      <c r="D598" s="86">
        <v>195.7</v>
      </c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1.25" customHeight="1">
      <c r="A599" s="82" t="s">
        <v>1226</v>
      </c>
      <c r="B599" s="54" t="s">
        <v>1227</v>
      </c>
      <c r="C599" s="38" t="s">
        <v>41</v>
      </c>
      <c r="D599" s="86">
        <v>285</v>
      </c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1.25" customHeight="1">
      <c r="A600" s="82" t="s">
        <v>1228</v>
      </c>
      <c r="B600" s="54" t="s">
        <v>1229</v>
      </c>
      <c r="C600" s="38" t="s">
        <v>41</v>
      </c>
      <c r="D600" s="85">
        <v>162</v>
      </c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1.25" customHeight="1">
      <c r="A601" s="82" t="s">
        <v>1230</v>
      </c>
      <c r="B601" s="54" t="s">
        <v>1231</v>
      </c>
      <c r="C601" s="38" t="s">
        <v>41</v>
      </c>
      <c r="D601" s="86">
        <v>272</v>
      </c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1.25" customHeight="1">
      <c r="A602" s="82" t="s">
        <v>1232</v>
      </c>
      <c r="B602" s="54" t="s">
        <v>1233</v>
      </c>
      <c r="C602" s="38" t="s">
        <v>41</v>
      </c>
      <c r="D602" s="85">
        <v>162</v>
      </c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1.25" customHeight="1">
      <c r="A603" s="82" t="s">
        <v>1234</v>
      </c>
      <c r="B603" s="54" t="s">
        <v>1235</v>
      </c>
      <c r="C603" s="38" t="s">
        <v>41</v>
      </c>
      <c r="D603" s="85">
        <v>162</v>
      </c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1.25" customHeight="1">
      <c r="A604" s="82" t="s">
        <v>1236</v>
      </c>
      <c r="B604" s="54" t="s">
        <v>1237</v>
      </c>
      <c r="C604" s="38" t="s">
        <v>41</v>
      </c>
      <c r="D604" s="86">
        <v>204</v>
      </c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1.25" customHeight="1">
      <c r="A605" s="82" t="s">
        <v>1238</v>
      </c>
      <c r="B605" s="54" t="s">
        <v>1239</v>
      </c>
      <c r="C605" s="38" t="s">
        <v>41</v>
      </c>
      <c r="D605" s="86">
        <v>267.42</v>
      </c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1.25" customHeight="1">
      <c r="A606" s="82" t="s">
        <v>1240</v>
      </c>
      <c r="B606" s="54" t="s">
        <v>1241</v>
      </c>
      <c r="C606" s="38" t="s">
        <v>225</v>
      </c>
      <c r="D606" s="87">
        <v>18</v>
      </c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1.25" customHeight="1">
      <c r="A607" s="82" t="s">
        <v>1242</v>
      </c>
      <c r="B607" s="54" t="s">
        <v>1243</v>
      </c>
      <c r="C607" s="38" t="s">
        <v>225</v>
      </c>
      <c r="D607" s="87">
        <v>23</v>
      </c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1.25" customHeight="1">
      <c r="A608" s="82" t="s">
        <v>1244</v>
      </c>
      <c r="B608" s="54" t="s">
        <v>1245</v>
      </c>
      <c r="C608" s="38" t="s">
        <v>225</v>
      </c>
      <c r="D608" s="87">
        <v>33.9</v>
      </c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1.25" customHeight="1">
      <c r="A609" s="82" t="s">
        <v>1246</v>
      </c>
      <c r="B609" s="54" t="s">
        <v>1247</v>
      </c>
      <c r="C609" s="38" t="s">
        <v>225</v>
      </c>
      <c r="D609" s="87">
        <v>56.73</v>
      </c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1.25" customHeight="1">
      <c r="A610" s="82" t="s">
        <v>1248</v>
      </c>
      <c r="B610" s="54" t="s">
        <v>1249</v>
      </c>
      <c r="C610" s="38" t="s">
        <v>225</v>
      </c>
      <c r="D610" s="87">
        <v>12.44</v>
      </c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1.25" customHeight="1">
      <c r="A611" s="82" t="s">
        <v>1250</v>
      </c>
      <c r="B611" s="54" t="s">
        <v>1251</v>
      </c>
      <c r="C611" s="38" t="s">
        <v>225</v>
      </c>
      <c r="D611" s="87">
        <v>8.8800000000000008</v>
      </c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1.25" customHeight="1">
      <c r="A612" s="82" t="s">
        <v>1252</v>
      </c>
      <c r="B612" s="54" t="s">
        <v>1253</v>
      </c>
      <c r="C612" s="38" t="s">
        <v>225</v>
      </c>
      <c r="D612" s="87">
        <v>24.17</v>
      </c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1.25" customHeight="1">
      <c r="A613" s="82" t="s">
        <v>1254</v>
      </c>
      <c r="B613" s="54" t="s">
        <v>1255</v>
      </c>
      <c r="C613" s="38" t="s">
        <v>225</v>
      </c>
      <c r="D613" s="87">
        <v>10.45</v>
      </c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1.25" customHeight="1">
      <c r="A614" s="82" t="s">
        <v>1256</v>
      </c>
      <c r="B614" s="54" t="s">
        <v>1257</v>
      </c>
      <c r="C614" s="38" t="s">
        <v>225</v>
      </c>
      <c r="D614" s="87">
        <v>6.29</v>
      </c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1.25" customHeight="1">
      <c r="A615" s="82" t="s">
        <v>1258</v>
      </c>
      <c r="B615" s="54" t="s">
        <v>1259</v>
      </c>
      <c r="C615" s="38" t="s">
        <v>225</v>
      </c>
      <c r="D615" s="86">
        <v>5.76</v>
      </c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1.25" customHeight="1">
      <c r="A616" s="82" t="s">
        <v>1260</v>
      </c>
      <c r="B616" s="54" t="s">
        <v>1261</v>
      </c>
      <c r="C616" s="38" t="s">
        <v>225</v>
      </c>
      <c r="D616" s="87">
        <v>15.68</v>
      </c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1.25" customHeight="1">
      <c r="A617" s="82" t="s">
        <v>1262</v>
      </c>
      <c r="B617" s="54" t="s">
        <v>1263</v>
      </c>
      <c r="C617" s="38" t="s">
        <v>225</v>
      </c>
      <c r="D617" s="87">
        <v>4.7</v>
      </c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1.25" customHeight="1">
      <c r="A618" s="82" t="s">
        <v>1264</v>
      </c>
      <c r="B618" s="54" t="s">
        <v>1265</v>
      </c>
      <c r="C618" s="38" t="s">
        <v>225</v>
      </c>
      <c r="D618" s="87">
        <v>4.13</v>
      </c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1.25" customHeight="1">
      <c r="A619" s="82" t="s">
        <v>1266</v>
      </c>
      <c r="B619" s="54" t="s">
        <v>1267</v>
      </c>
      <c r="C619" s="38" t="s">
        <v>225</v>
      </c>
      <c r="D619" s="87">
        <v>3.22</v>
      </c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1.25" customHeight="1">
      <c r="A620" s="82" t="s">
        <v>1268</v>
      </c>
      <c r="B620" s="54" t="s">
        <v>1269</v>
      </c>
      <c r="C620" s="38" t="s">
        <v>225</v>
      </c>
      <c r="D620" s="87">
        <v>9.02</v>
      </c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1.25" customHeight="1">
      <c r="A621" s="82" t="s">
        <v>1270</v>
      </c>
      <c r="B621" s="54" t="s">
        <v>1271</v>
      </c>
      <c r="C621" s="38" t="s">
        <v>225</v>
      </c>
      <c r="D621" s="87">
        <v>15.99</v>
      </c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1.25" customHeight="1">
      <c r="A622" s="82" t="s">
        <v>1272</v>
      </c>
      <c r="B622" s="54" t="s">
        <v>1273</v>
      </c>
      <c r="C622" s="38" t="s">
        <v>225</v>
      </c>
      <c r="D622" s="87">
        <v>12.1</v>
      </c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1.25" customHeight="1">
      <c r="A623" s="82" t="s">
        <v>1274</v>
      </c>
      <c r="B623" s="54" t="s">
        <v>1275</v>
      </c>
      <c r="C623" s="38" t="s">
        <v>225</v>
      </c>
      <c r="D623" s="86">
        <v>36.46</v>
      </c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1.25" customHeight="1">
      <c r="A624" s="82" t="s">
        <v>1276</v>
      </c>
      <c r="B624" s="54" t="s">
        <v>1277</v>
      </c>
      <c r="C624" s="38" t="s">
        <v>225</v>
      </c>
      <c r="D624" s="87">
        <v>9.6999999999999993</v>
      </c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1.25" customHeight="1">
      <c r="A625" s="82" t="s">
        <v>1278</v>
      </c>
      <c r="B625" s="54" t="s">
        <v>1279</v>
      </c>
      <c r="C625" s="38" t="s">
        <v>41</v>
      </c>
      <c r="D625" s="87">
        <v>5.0999999999999996</v>
      </c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1.25" customHeight="1">
      <c r="A626" s="82" t="s">
        <v>1280</v>
      </c>
      <c r="B626" s="54" t="s">
        <v>1281</v>
      </c>
      <c r="C626" s="38" t="s">
        <v>41</v>
      </c>
      <c r="D626" s="86">
        <v>7.7</v>
      </c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1.25" customHeight="1">
      <c r="A627" s="82" t="s">
        <v>1282</v>
      </c>
      <c r="B627" s="54" t="s">
        <v>1283</v>
      </c>
      <c r="C627" s="38" t="s">
        <v>41</v>
      </c>
      <c r="D627" s="85">
        <v>18.690000000000001</v>
      </c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1.25" customHeight="1">
      <c r="A628" s="82" t="s">
        <v>1284</v>
      </c>
      <c r="B628" s="54" t="s">
        <v>1285</v>
      </c>
      <c r="C628" s="38" t="s">
        <v>41</v>
      </c>
      <c r="D628" s="86">
        <v>28.9</v>
      </c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1.25" customHeight="1">
      <c r="A629" s="82" t="s">
        <v>1286</v>
      </c>
      <c r="B629" s="54" t="s">
        <v>1287</v>
      </c>
      <c r="C629" s="38" t="s">
        <v>41</v>
      </c>
      <c r="D629" s="86">
        <v>8.17</v>
      </c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1.25" customHeight="1">
      <c r="A630" s="82" t="s">
        <v>1288</v>
      </c>
      <c r="B630" s="54" t="s">
        <v>1289</v>
      </c>
      <c r="C630" s="38" t="s">
        <v>41</v>
      </c>
      <c r="D630" s="87">
        <v>7.1</v>
      </c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1.25" customHeight="1">
      <c r="A631" s="82" t="s">
        <v>1290</v>
      </c>
      <c r="B631" s="54" t="s">
        <v>1291</v>
      </c>
      <c r="C631" s="38" t="s">
        <v>41</v>
      </c>
      <c r="D631" s="86">
        <v>8.1999999999999993</v>
      </c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1.25" customHeight="1">
      <c r="A632" s="82" t="s">
        <v>1292</v>
      </c>
      <c r="B632" s="54" t="s">
        <v>1293</v>
      </c>
      <c r="C632" s="38" t="s">
        <v>41</v>
      </c>
      <c r="D632" s="86">
        <v>5.4</v>
      </c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1.25" customHeight="1">
      <c r="A633" s="82" t="s">
        <v>1294</v>
      </c>
      <c r="B633" s="54" t="s">
        <v>1295</v>
      </c>
      <c r="C633" s="38" t="s">
        <v>41</v>
      </c>
      <c r="D633" s="86">
        <v>2.5</v>
      </c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1.25" customHeight="1">
      <c r="A634" s="82" t="s">
        <v>1296</v>
      </c>
      <c r="B634" s="54" t="s">
        <v>1297</v>
      </c>
      <c r="C634" s="38" t="s">
        <v>41</v>
      </c>
      <c r="D634" s="87">
        <v>0.78</v>
      </c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1.25" customHeight="1">
      <c r="A635" s="82" t="s">
        <v>1298</v>
      </c>
      <c r="B635" s="54" t="s">
        <v>1299</v>
      </c>
      <c r="C635" s="38" t="s">
        <v>41</v>
      </c>
      <c r="D635" s="87">
        <v>3.87</v>
      </c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1.25" customHeight="1">
      <c r="A636" s="82" t="s">
        <v>1300</v>
      </c>
      <c r="B636" s="54" t="s">
        <v>1301</v>
      </c>
      <c r="C636" s="38" t="s">
        <v>41</v>
      </c>
      <c r="D636" s="87">
        <v>0.9</v>
      </c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1.25" customHeight="1">
      <c r="A637" s="82" t="s">
        <v>1302</v>
      </c>
      <c r="B637" s="54" t="s">
        <v>1303</v>
      </c>
      <c r="C637" s="38" t="s">
        <v>41</v>
      </c>
      <c r="D637" s="87">
        <v>6.2</v>
      </c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1.25" customHeight="1">
      <c r="A638" s="82" t="s">
        <v>1304</v>
      </c>
      <c r="B638" s="54" t="s">
        <v>1305</v>
      </c>
      <c r="C638" s="38" t="s">
        <v>41</v>
      </c>
      <c r="D638" s="87">
        <v>2.93</v>
      </c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1.25" customHeight="1">
      <c r="A639" s="82" t="s">
        <v>1306</v>
      </c>
      <c r="B639" s="54" t="s">
        <v>1307</v>
      </c>
      <c r="C639" s="38" t="s">
        <v>41</v>
      </c>
      <c r="D639" s="87">
        <v>4.04</v>
      </c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1.25" customHeight="1">
      <c r="A640" s="82" t="s">
        <v>1308</v>
      </c>
      <c r="B640" s="54" t="s">
        <v>1309</v>
      </c>
      <c r="C640" s="38" t="s">
        <v>41</v>
      </c>
      <c r="D640" s="87">
        <v>1.41</v>
      </c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1.25" customHeight="1">
      <c r="A641" s="82" t="s">
        <v>1310</v>
      </c>
      <c r="B641" s="54" t="s">
        <v>1311</v>
      </c>
      <c r="C641" s="38" t="s">
        <v>41</v>
      </c>
      <c r="D641" s="85">
        <v>1.8</v>
      </c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1.25" customHeight="1">
      <c r="A642" s="82" t="s">
        <v>1312</v>
      </c>
      <c r="B642" s="54" t="s">
        <v>1313</v>
      </c>
      <c r="C642" s="38" t="s">
        <v>41</v>
      </c>
      <c r="D642" s="85">
        <v>1.1399999999999999</v>
      </c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1.25" customHeight="1">
      <c r="A643" s="82" t="s">
        <v>1314</v>
      </c>
      <c r="B643" s="54" t="s">
        <v>1315</v>
      </c>
      <c r="C643" s="38" t="s">
        <v>41</v>
      </c>
      <c r="D643" s="85">
        <v>367</v>
      </c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1.25" customHeight="1">
      <c r="A644" s="82" t="s">
        <v>1316</v>
      </c>
      <c r="B644" s="54" t="s">
        <v>1317</v>
      </c>
      <c r="C644" s="38" t="s">
        <v>41</v>
      </c>
      <c r="D644" s="86">
        <v>591</v>
      </c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1.25" customHeight="1">
      <c r="A645" s="82" t="s">
        <v>1318</v>
      </c>
      <c r="B645" s="54" t="s">
        <v>1319</v>
      </c>
      <c r="C645" s="38" t="s">
        <v>1320</v>
      </c>
      <c r="D645" s="87">
        <v>240.1</v>
      </c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1.25" customHeight="1">
      <c r="A646" s="82" t="s">
        <v>1321</v>
      </c>
      <c r="B646" s="55" t="s">
        <v>1322</v>
      </c>
      <c r="C646" s="56" t="s">
        <v>41</v>
      </c>
      <c r="D646" s="88">
        <v>1124.76</v>
      </c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1.25" customHeight="1">
      <c r="A647" s="82" t="s">
        <v>1323</v>
      </c>
      <c r="B647" s="55" t="s">
        <v>1324</v>
      </c>
      <c r="C647" s="56" t="s">
        <v>41</v>
      </c>
      <c r="D647" s="88">
        <v>651.35</v>
      </c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1.25" customHeight="1">
      <c r="A648" s="82" t="s">
        <v>1325</v>
      </c>
      <c r="B648" s="55" t="s">
        <v>1326</v>
      </c>
      <c r="C648" s="56" t="s">
        <v>41</v>
      </c>
      <c r="D648" s="88">
        <v>458.83</v>
      </c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1.25" customHeight="1">
      <c r="A649" s="82" t="s">
        <v>1327</v>
      </c>
      <c r="B649" s="55" t="s">
        <v>1328</v>
      </c>
      <c r="C649" s="56" t="s">
        <v>41</v>
      </c>
      <c r="D649" s="88">
        <v>629.45000000000005</v>
      </c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1.25" customHeight="1">
      <c r="A650" s="82" t="s">
        <v>1329</v>
      </c>
      <c r="B650" s="55" t="s">
        <v>1330</v>
      </c>
      <c r="C650" s="56" t="s">
        <v>41</v>
      </c>
      <c r="D650" s="90">
        <v>957.12</v>
      </c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1.25" customHeight="1">
      <c r="A651" s="82" t="s">
        <v>1331</v>
      </c>
      <c r="B651" s="55" t="s">
        <v>1332</v>
      </c>
      <c r="C651" s="56" t="s">
        <v>41</v>
      </c>
      <c r="D651" s="89">
        <v>409.31</v>
      </c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1.25" customHeight="1">
      <c r="A652" s="82" t="s">
        <v>1333</v>
      </c>
      <c r="B652" s="55" t="s">
        <v>1334</v>
      </c>
      <c r="C652" s="56" t="s">
        <v>41</v>
      </c>
      <c r="D652" s="89">
        <v>148.4</v>
      </c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1.25" customHeight="1">
      <c r="A653" s="82" t="s">
        <v>1335</v>
      </c>
      <c r="B653" s="55" t="s">
        <v>1336</v>
      </c>
      <c r="C653" s="56" t="s">
        <v>41</v>
      </c>
      <c r="D653" s="90">
        <v>256.2</v>
      </c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1.25" customHeight="1">
      <c r="A654" s="82" t="s">
        <v>1337</v>
      </c>
      <c r="B654" s="55" t="s">
        <v>1338</v>
      </c>
      <c r="C654" s="56" t="s">
        <v>41</v>
      </c>
      <c r="D654" s="89">
        <v>151.19999999999999</v>
      </c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1.25" customHeight="1">
      <c r="A655" s="82" t="s">
        <v>1339</v>
      </c>
      <c r="B655" s="55" t="s">
        <v>1340</v>
      </c>
      <c r="C655" s="56" t="s">
        <v>41</v>
      </c>
      <c r="D655" s="90">
        <v>273</v>
      </c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1.25" customHeight="1">
      <c r="A656" s="82" t="s">
        <v>1341</v>
      </c>
      <c r="B656" s="55" t="s">
        <v>1342</v>
      </c>
      <c r="C656" s="56" t="s">
        <v>41</v>
      </c>
      <c r="D656" s="88">
        <v>305.2</v>
      </c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1.25" customHeight="1">
      <c r="A657" s="82" t="s">
        <v>1343</v>
      </c>
      <c r="B657" s="55" t="s">
        <v>1344</v>
      </c>
      <c r="C657" s="56" t="s">
        <v>41</v>
      </c>
      <c r="D657" s="88">
        <v>504</v>
      </c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1.25" customHeight="1">
      <c r="A658" s="82" t="s">
        <v>1345</v>
      </c>
      <c r="B658" s="55" t="s">
        <v>1346</v>
      </c>
      <c r="C658" s="56" t="s">
        <v>41</v>
      </c>
      <c r="D658" s="88">
        <v>3690.67</v>
      </c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1.25" customHeight="1">
      <c r="A659" s="82" t="s">
        <v>1347</v>
      </c>
      <c r="B659" s="55" t="s">
        <v>1348</v>
      </c>
      <c r="C659" s="56" t="s">
        <v>41</v>
      </c>
      <c r="D659" s="90">
        <v>126</v>
      </c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1.25" customHeight="1">
      <c r="A660" s="82" t="s">
        <v>1349</v>
      </c>
      <c r="B660" s="55" t="s">
        <v>1350</v>
      </c>
      <c r="C660" s="56" t="s">
        <v>41</v>
      </c>
      <c r="D660" s="90">
        <v>240</v>
      </c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1.25" customHeight="1">
      <c r="A661" s="82" t="s">
        <v>1351</v>
      </c>
      <c r="B661" s="54" t="s">
        <v>1352</v>
      </c>
      <c r="C661" s="38" t="s">
        <v>1353</v>
      </c>
      <c r="D661" s="86">
        <v>106.08</v>
      </c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1.25" customHeight="1">
      <c r="A662" s="82" t="s">
        <v>1354</v>
      </c>
      <c r="B662" s="54" t="s">
        <v>1355</v>
      </c>
      <c r="C662" s="38" t="s">
        <v>1353</v>
      </c>
      <c r="D662" s="86">
        <v>115</v>
      </c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1.25" customHeight="1">
      <c r="A663" s="82" t="s">
        <v>1356</v>
      </c>
      <c r="B663" s="54" t="s">
        <v>1357</v>
      </c>
      <c r="C663" s="38" t="s">
        <v>1353</v>
      </c>
      <c r="D663" s="85">
        <v>189.8</v>
      </c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1.25" customHeight="1">
      <c r="A664" s="82" t="s">
        <v>1358</v>
      </c>
      <c r="B664" s="57" t="s">
        <v>1359</v>
      </c>
      <c r="C664" s="58" t="s">
        <v>41</v>
      </c>
      <c r="D664" s="91">
        <v>1</v>
      </c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1.25" customHeight="1">
      <c r="A665" s="82" t="s">
        <v>1360</v>
      </c>
      <c r="B665" s="57" t="s">
        <v>1361</v>
      </c>
      <c r="C665" s="58" t="s">
        <v>41</v>
      </c>
      <c r="D665" s="91">
        <v>1</v>
      </c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1.25" customHeight="1">
      <c r="A666" s="81"/>
      <c r="B666" s="53" t="s">
        <v>1362</v>
      </c>
      <c r="C666" s="52"/>
      <c r="D666" s="92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1.25" customHeight="1">
      <c r="A667" s="82" t="s">
        <v>1363</v>
      </c>
      <c r="B667" s="54" t="s">
        <v>1364</v>
      </c>
      <c r="C667" s="38" t="s">
        <v>1365</v>
      </c>
      <c r="D667" s="85" t="s">
        <v>91</v>
      </c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1.25" customHeight="1">
      <c r="A668" s="82" t="s">
        <v>1366</v>
      </c>
      <c r="B668" s="54" t="s">
        <v>1367</v>
      </c>
      <c r="C668" s="38" t="s">
        <v>1365</v>
      </c>
      <c r="D668" s="85" t="s">
        <v>91</v>
      </c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1.25" customHeight="1">
      <c r="A669" s="82" t="s">
        <v>1368</v>
      </c>
      <c r="B669" s="54" t="s">
        <v>1369</v>
      </c>
      <c r="C669" s="38" t="s">
        <v>1365</v>
      </c>
      <c r="D669" s="85" t="s">
        <v>91</v>
      </c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1.25" customHeight="1">
      <c r="A670" s="82" t="s">
        <v>1370</v>
      </c>
      <c r="B670" s="54" t="s">
        <v>1371</v>
      </c>
      <c r="C670" s="38" t="s">
        <v>1365</v>
      </c>
      <c r="D670" s="85">
        <v>261</v>
      </c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1.25" customHeight="1">
      <c r="A671" s="82" t="s">
        <v>1372</v>
      </c>
      <c r="B671" s="54" t="s">
        <v>1373</v>
      </c>
      <c r="C671" s="38" t="s">
        <v>1365</v>
      </c>
      <c r="D671" s="86">
        <v>190</v>
      </c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1.25" customHeight="1">
      <c r="A672" s="82" t="s">
        <v>1374</v>
      </c>
      <c r="B672" s="54" t="s">
        <v>1375</v>
      </c>
      <c r="C672" s="38" t="s">
        <v>1365</v>
      </c>
      <c r="D672" s="86">
        <v>177.83</v>
      </c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1.25" customHeight="1">
      <c r="A673" s="82" t="s">
        <v>1376</v>
      </c>
      <c r="B673" s="54" t="s">
        <v>1377</v>
      </c>
      <c r="C673" s="38" t="s">
        <v>1365</v>
      </c>
      <c r="D673" s="86">
        <v>202</v>
      </c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1.25" customHeight="1">
      <c r="A674" s="82" t="s">
        <v>1378</v>
      </c>
      <c r="B674" s="54" t="s">
        <v>1379</v>
      </c>
      <c r="C674" s="38" t="s">
        <v>1365</v>
      </c>
      <c r="D674" s="86">
        <v>165</v>
      </c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1.25" customHeight="1">
      <c r="A675" s="82" t="s">
        <v>1380</v>
      </c>
      <c r="B675" s="54" t="s">
        <v>1381</v>
      </c>
      <c r="C675" s="38" t="s">
        <v>1365</v>
      </c>
      <c r="D675" s="86">
        <v>206.37</v>
      </c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1.25" customHeight="1">
      <c r="A676" s="82" t="s">
        <v>1382</v>
      </c>
      <c r="B676" s="54" t="s">
        <v>1383</v>
      </c>
      <c r="C676" s="38" t="s">
        <v>1365</v>
      </c>
      <c r="D676" s="85">
        <v>165</v>
      </c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1.25" customHeight="1">
      <c r="A677" s="82" t="s">
        <v>1384</v>
      </c>
      <c r="B677" s="54" t="s">
        <v>1385</v>
      </c>
      <c r="C677" s="38" t="s">
        <v>1365</v>
      </c>
      <c r="D677" s="85">
        <v>165</v>
      </c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1.25" customHeight="1">
      <c r="A678" s="82" t="s">
        <v>1386</v>
      </c>
      <c r="B678" s="54" t="s">
        <v>1387</v>
      </c>
      <c r="C678" s="38" t="s">
        <v>1365</v>
      </c>
      <c r="D678" s="85">
        <v>270</v>
      </c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1.25" customHeight="1">
      <c r="A679" s="82" t="s">
        <v>1388</v>
      </c>
      <c r="B679" s="54" t="s">
        <v>1389</v>
      </c>
      <c r="C679" s="38" t="s">
        <v>1365</v>
      </c>
      <c r="D679" s="85">
        <v>233.28</v>
      </c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1.25" customHeight="1">
      <c r="A680" s="82" t="s">
        <v>1390</v>
      </c>
      <c r="B680" s="54" t="s">
        <v>1391</v>
      </c>
      <c r="C680" s="38" t="s">
        <v>1365</v>
      </c>
      <c r="D680" s="85" t="s">
        <v>91</v>
      </c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1.25" customHeight="1">
      <c r="A681" s="82" t="s">
        <v>1392</v>
      </c>
      <c r="B681" s="54" t="s">
        <v>1393</v>
      </c>
      <c r="C681" s="38" t="s">
        <v>1365</v>
      </c>
      <c r="D681" s="85" t="s">
        <v>91</v>
      </c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1.25" customHeight="1">
      <c r="A682" s="82" t="s">
        <v>1394</v>
      </c>
      <c r="B682" s="54" t="s">
        <v>1395</v>
      </c>
      <c r="C682" s="38" t="s">
        <v>1365</v>
      </c>
      <c r="D682" s="86" t="s">
        <v>91</v>
      </c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1.25" customHeight="1">
      <c r="A683" s="82" t="s">
        <v>1396</v>
      </c>
      <c r="B683" s="54" t="s">
        <v>1397</v>
      </c>
      <c r="C683" s="38" t="s">
        <v>1365</v>
      </c>
      <c r="D683" s="85" t="s">
        <v>91</v>
      </c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1.25" customHeight="1">
      <c r="A684" s="82" t="s">
        <v>1398</v>
      </c>
      <c r="B684" s="54" t="s">
        <v>1399</v>
      </c>
      <c r="C684" s="38" t="s">
        <v>1365</v>
      </c>
      <c r="D684" s="85" t="s">
        <v>91</v>
      </c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1.25" customHeight="1">
      <c r="A685" s="82" t="s">
        <v>1400</v>
      </c>
      <c r="B685" s="54" t="s">
        <v>1401</v>
      </c>
      <c r="C685" s="38" t="s">
        <v>1365</v>
      </c>
      <c r="D685" s="85" t="s">
        <v>91</v>
      </c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1.25" customHeight="1">
      <c r="A686" s="82" t="s">
        <v>1402</v>
      </c>
      <c r="B686" s="54" t="s">
        <v>1403</v>
      </c>
      <c r="C686" s="38" t="s">
        <v>1365</v>
      </c>
      <c r="D686" s="86" t="s">
        <v>91</v>
      </c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1.25" customHeight="1">
      <c r="A687" s="82" t="s">
        <v>1404</v>
      </c>
      <c r="B687" s="54" t="s">
        <v>1405</v>
      </c>
      <c r="C687" s="38" t="s">
        <v>1365</v>
      </c>
      <c r="D687" s="86" t="s">
        <v>91</v>
      </c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1.25" customHeight="1">
      <c r="A688" s="82" t="s">
        <v>1406</v>
      </c>
      <c r="B688" s="54" t="s">
        <v>1407</v>
      </c>
      <c r="C688" s="38" t="s">
        <v>1365</v>
      </c>
      <c r="D688" s="85" t="s">
        <v>91</v>
      </c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1.25" customHeight="1">
      <c r="A689" s="82" t="s">
        <v>1408</v>
      </c>
      <c r="B689" s="54" t="s">
        <v>1409</v>
      </c>
      <c r="C689" s="38" t="s">
        <v>1365</v>
      </c>
      <c r="D689" s="85" t="s">
        <v>91</v>
      </c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1.25" customHeight="1">
      <c r="A690" s="82" t="s">
        <v>1410</v>
      </c>
      <c r="B690" s="54" t="s">
        <v>1411</v>
      </c>
      <c r="C690" s="38" t="s">
        <v>1365</v>
      </c>
      <c r="D690" s="85" t="s">
        <v>91</v>
      </c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1.25" customHeight="1">
      <c r="A691" s="82" t="s">
        <v>1412</v>
      </c>
      <c r="B691" s="54" t="s">
        <v>1413</v>
      </c>
      <c r="C691" s="38" t="s">
        <v>1365</v>
      </c>
      <c r="D691" s="85" t="s">
        <v>91</v>
      </c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1.25" customHeight="1">
      <c r="A692" s="82" t="s">
        <v>1414</v>
      </c>
      <c r="B692" s="54" t="s">
        <v>1415</v>
      </c>
      <c r="C692" s="38" t="s">
        <v>1365</v>
      </c>
      <c r="D692" s="85" t="s">
        <v>91</v>
      </c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1.25" customHeight="1">
      <c r="A693" s="82" t="s">
        <v>1416</v>
      </c>
      <c r="B693" s="54" t="s">
        <v>1417</v>
      </c>
      <c r="C693" s="38" t="s">
        <v>1365</v>
      </c>
      <c r="D693" s="86" t="s">
        <v>91</v>
      </c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1.25" customHeight="1">
      <c r="A694" s="82" t="s">
        <v>1418</v>
      </c>
      <c r="B694" s="54" t="s">
        <v>1419</v>
      </c>
      <c r="C694" s="38" t="s">
        <v>1365</v>
      </c>
      <c r="D694" s="86" t="s">
        <v>91</v>
      </c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1.25" customHeight="1">
      <c r="A695" s="82" t="s">
        <v>1420</v>
      </c>
      <c r="B695" s="54" t="s">
        <v>1421</v>
      </c>
      <c r="C695" s="38" t="s">
        <v>1365</v>
      </c>
      <c r="D695" s="86" t="s">
        <v>91</v>
      </c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1.25" customHeight="1">
      <c r="A696" s="82" t="s">
        <v>1422</v>
      </c>
      <c r="B696" s="54" t="s">
        <v>1423</v>
      </c>
      <c r="C696" s="38" t="s">
        <v>1365</v>
      </c>
      <c r="D696" s="85" t="s">
        <v>91</v>
      </c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1.25" customHeight="1">
      <c r="A697" s="82" t="s">
        <v>1424</v>
      </c>
      <c r="B697" s="54" t="s">
        <v>1425</v>
      </c>
      <c r="C697" s="38" t="s">
        <v>1365</v>
      </c>
      <c r="D697" s="85" t="s">
        <v>91</v>
      </c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1.25" customHeight="1">
      <c r="A698" s="82" t="s">
        <v>1426</v>
      </c>
      <c r="B698" s="54" t="s">
        <v>1427</v>
      </c>
      <c r="C698" s="38" t="s">
        <v>1365</v>
      </c>
      <c r="D698" s="85" t="s">
        <v>91</v>
      </c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1.25" customHeight="1">
      <c r="A699" s="82" t="s">
        <v>1428</v>
      </c>
      <c r="B699" s="54" t="s">
        <v>1429</v>
      </c>
      <c r="C699" s="38" t="s">
        <v>1365</v>
      </c>
      <c r="D699" s="85" t="s">
        <v>91</v>
      </c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1.25" customHeight="1">
      <c r="A700" s="82" t="s">
        <v>1430</v>
      </c>
      <c r="B700" s="54" t="s">
        <v>1431</v>
      </c>
      <c r="C700" s="38" t="s">
        <v>1365</v>
      </c>
      <c r="D700" s="85" t="s">
        <v>91</v>
      </c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1.25" customHeight="1">
      <c r="A701" s="82" t="s">
        <v>1432</v>
      </c>
      <c r="B701" s="54" t="s">
        <v>1433</v>
      </c>
      <c r="C701" s="38" t="s">
        <v>1365</v>
      </c>
      <c r="D701" s="85" t="s">
        <v>91</v>
      </c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1.25" customHeight="1">
      <c r="A702" s="82" t="s">
        <v>1434</v>
      </c>
      <c r="B702" s="54" t="s">
        <v>1435</v>
      </c>
      <c r="C702" s="38" t="s">
        <v>1365</v>
      </c>
      <c r="D702" s="85" t="s">
        <v>91</v>
      </c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1.25" customHeight="1">
      <c r="A703" s="82" t="s">
        <v>1436</v>
      </c>
      <c r="B703" s="54" t="s">
        <v>1437</v>
      </c>
      <c r="C703" s="38" t="s">
        <v>1365</v>
      </c>
      <c r="D703" s="85" t="s">
        <v>91</v>
      </c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1.25" customHeight="1">
      <c r="A704" s="82" t="s">
        <v>1438</v>
      </c>
      <c r="B704" s="54" t="s">
        <v>1439</v>
      </c>
      <c r="C704" s="38" t="s">
        <v>1365</v>
      </c>
      <c r="D704" s="85" t="s">
        <v>91</v>
      </c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1.25" customHeight="1">
      <c r="A705" s="82" t="s">
        <v>1440</v>
      </c>
      <c r="B705" s="54" t="s">
        <v>1441</v>
      </c>
      <c r="C705" s="38" t="s">
        <v>1365</v>
      </c>
      <c r="D705" s="85" t="s">
        <v>91</v>
      </c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1.25" customHeight="1">
      <c r="A706" s="82" t="s">
        <v>1442</v>
      </c>
      <c r="B706" s="54" t="s">
        <v>1443</v>
      </c>
      <c r="C706" s="38" t="s">
        <v>1365</v>
      </c>
      <c r="D706" s="85" t="s">
        <v>91</v>
      </c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1.25" customHeight="1">
      <c r="A707" s="82" t="s">
        <v>1444</v>
      </c>
      <c r="B707" s="54" t="s">
        <v>1445</v>
      </c>
      <c r="C707" s="38" t="s">
        <v>1365</v>
      </c>
      <c r="D707" s="85" t="s">
        <v>91</v>
      </c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1.25" customHeight="1">
      <c r="A708" s="82" t="s">
        <v>1446</v>
      </c>
      <c r="B708" s="54" t="s">
        <v>1447</v>
      </c>
      <c r="C708" s="38" t="s">
        <v>1365</v>
      </c>
      <c r="D708" s="85" t="s">
        <v>91</v>
      </c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1.25" customHeight="1">
      <c r="A709" s="82" t="s">
        <v>1448</v>
      </c>
      <c r="B709" s="54" t="s">
        <v>1449</v>
      </c>
      <c r="C709" s="38" t="s">
        <v>1365</v>
      </c>
      <c r="D709" s="85" t="s">
        <v>91</v>
      </c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1.25" customHeight="1">
      <c r="A710" s="82" t="s">
        <v>1450</v>
      </c>
      <c r="B710" s="54" t="s">
        <v>1451</v>
      </c>
      <c r="C710" s="38" t="s">
        <v>1365</v>
      </c>
      <c r="D710" s="85" t="s">
        <v>91</v>
      </c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1.25" customHeight="1">
      <c r="A711" s="82" t="s">
        <v>1452</v>
      </c>
      <c r="B711" s="54" t="s">
        <v>1453</v>
      </c>
      <c r="C711" s="38" t="s">
        <v>1365</v>
      </c>
      <c r="D711" s="85" t="s">
        <v>91</v>
      </c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1.25" customHeight="1">
      <c r="A712" s="82" t="s">
        <v>1454</v>
      </c>
      <c r="B712" s="54" t="s">
        <v>1455</v>
      </c>
      <c r="C712" s="38" t="s">
        <v>1365</v>
      </c>
      <c r="D712" s="85" t="s">
        <v>91</v>
      </c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1.25" customHeight="1">
      <c r="A713" s="82" t="s">
        <v>1456</v>
      </c>
      <c r="B713" s="54" t="s">
        <v>1457</v>
      </c>
      <c r="C713" s="38" t="s">
        <v>1365</v>
      </c>
      <c r="D713" s="85" t="s">
        <v>91</v>
      </c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1.25" customHeight="1">
      <c r="A714" s="82" t="s">
        <v>1458</v>
      </c>
      <c r="B714" s="54" t="s">
        <v>1459</v>
      </c>
      <c r="C714" s="38" t="s">
        <v>1365</v>
      </c>
      <c r="D714" s="85" t="s">
        <v>91</v>
      </c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1.25" customHeight="1">
      <c r="A715" s="82" t="s">
        <v>1460</v>
      </c>
      <c r="B715" s="54" t="s">
        <v>1461</v>
      </c>
      <c r="C715" s="38" t="s">
        <v>1365</v>
      </c>
      <c r="D715" s="85" t="s">
        <v>91</v>
      </c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1.25" customHeight="1">
      <c r="A716" s="93" t="s">
        <v>1462</v>
      </c>
      <c r="B716" s="94" t="s">
        <v>1463</v>
      </c>
      <c r="C716" s="95" t="s">
        <v>1464</v>
      </c>
      <c r="D716" s="96">
        <v>83</v>
      </c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1.25" customHeight="1">
      <c r="A717" s="49"/>
      <c r="B717" s="49"/>
      <c r="C717" s="59"/>
      <c r="D717" s="48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1.25" customHeight="1">
      <c r="A718" s="49"/>
      <c r="B718" s="49"/>
      <c r="C718" s="59"/>
      <c r="D718" s="48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1.25" customHeight="1">
      <c r="A719" s="49"/>
      <c r="B719" s="49"/>
      <c r="C719" s="59"/>
      <c r="D719" s="48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1.25" customHeight="1">
      <c r="A720" s="49"/>
      <c r="B720" s="49"/>
      <c r="C720" s="59"/>
      <c r="D720" s="48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1.25" customHeight="1">
      <c r="A721" s="49"/>
      <c r="B721" s="49"/>
      <c r="C721" s="59"/>
      <c r="D721" s="48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1.25" customHeight="1">
      <c r="A722" s="49"/>
      <c r="B722" s="49"/>
      <c r="C722" s="59"/>
      <c r="D722" s="48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1.25" customHeight="1">
      <c r="A723" s="49"/>
      <c r="B723" s="49"/>
      <c r="C723" s="59"/>
      <c r="D723" s="48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1.25" customHeight="1">
      <c r="A724" s="49"/>
      <c r="B724" s="49"/>
      <c r="C724" s="59"/>
      <c r="D724" s="48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1.25" customHeight="1">
      <c r="A725" s="49"/>
      <c r="B725" s="49"/>
      <c r="C725" s="59"/>
      <c r="D725" s="48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1.25" customHeight="1">
      <c r="A726" s="49"/>
      <c r="B726" s="49"/>
      <c r="C726" s="59"/>
      <c r="D726" s="48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1.25" customHeight="1">
      <c r="A727" s="49"/>
      <c r="B727" s="49"/>
      <c r="C727" s="59"/>
      <c r="D727" s="48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1.25" customHeight="1">
      <c r="A728" s="49"/>
      <c r="B728" s="49"/>
      <c r="C728" s="59"/>
      <c r="D728" s="48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1.25" customHeight="1">
      <c r="A729" s="49"/>
      <c r="B729" s="49"/>
      <c r="C729" s="59"/>
      <c r="D729" s="48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1.25" customHeight="1">
      <c r="A730" s="49"/>
      <c r="B730" s="49"/>
      <c r="C730" s="59"/>
      <c r="D730" s="48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1.25" customHeight="1">
      <c r="A731" s="49"/>
      <c r="B731" s="49"/>
      <c r="C731" s="59"/>
      <c r="D731" s="48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1.25" customHeight="1">
      <c r="A732" s="49"/>
      <c r="B732" s="49"/>
      <c r="C732" s="59"/>
      <c r="D732" s="48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1.25" customHeight="1">
      <c r="A733" s="49"/>
      <c r="B733" s="49"/>
      <c r="C733" s="59"/>
      <c r="D733" s="48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1.25" customHeight="1">
      <c r="A734" s="49"/>
      <c r="B734" s="49"/>
      <c r="C734" s="59"/>
      <c r="D734" s="48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1.25" customHeight="1">
      <c r="A735" s="49"/>
      <c r="B735" s="49"/>
      <c r="C735" s="59"/>
      <c r="D735" s="48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1.25" customHeight="1">
      <c r="A736" s="49"/>
      <c r="B736" s="49"/>
      <c r="C736" s="59"/>
      <c r="D736" s="48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1.25" customHeight="1">
      <c r="A737" s="49"/>
      <c r="B737" s="49"/>
      <c r="C737" s="59"/>
      <c r="D737" s="48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1.25" customHeight="1">
      <c r="A738" s="49"/>
      <c r="B738" s="49"/>
      <c r="C738" s="59"/>
      <c r="D738" s="48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1.25" customHeight="1">
      <c r="A739" s="49"/>
      <c r="B739" s="49"/>
      <c r="C739" s="59"/>
      <c r="D739" s="48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1.25" customHeight="1">
      <c r="A740" s="49"/>
      <c r="B740" s="49"/>
      <c r="C740" s="59"/>
      <c r="D740" s="48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1.25" customHeight="1">
      <c r="A741" s="49"/>
      <c r="B741" s="49"/>
      <c r="C741" s="59"/>
      <c r="D741" s="48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1.25" customHeight="1">
      <c r="A742" s="49"/>
      <c r="B742" s="49"/>
      <c r="C742" s="59"/>
      <c r="D742" s="48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1.25" customHeight="1">
      <c r="A743" s="49"/>
      <c r="B743" s="49"/>
      <c r="C743" s="59"/>
      <c r="D743" s="48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1.25" customHeight="1">
      <c r="A744" s="49"/>
      <c r="B744" s="49"/>
      <c r="C744" s="59"/>
      <c r="D744" s="48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1.25" customHeight="1">
      <c r="A745" s="49"/>
      <c r="B745" s="49"/>
      <c r="C745" s="59"/>
      <c r="D745" s="48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1.25" customHeight="1">
      <c r="A746" s="49"/>
      <c r="B746" s="49"/>
      <c r="C746" s="59"/>
      <c r="D746" s="48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1.25" customHeight="1">
      <c r="A747" s="49"/>
      <c r="B747" s="49"/>
      <c r="C747" s="59"/>
      <c r="D747" s="48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1.25" customHeight="1">
      <c r="A748" s="49"/>
      <c r="B748" s="49"/>
      <c r="C748" s="59"/>
      <c r="D748" s="48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1.25" customHeight="1">
      <c r="A749" s="49"/>
      <c r="B749" s="49"/>
      <c r="C749" s="59"/>
      <c r="D749" s="48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1.25" customHeight="1">
      <c r="A750" s="49"/>
      <c r="B750" s="49"/>
      <c r="C750" s="59"/>
      <c r="D750" s="48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1.25" customHeight="1">
      <c r="A751" s="49"/>
      <c r="B751" s="49"/>
      <c r="C751" s="59"/>
      <c r="D751" s="48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1.25" customHeight="1">
      <c r="A752" s="49"/>
      <c r="B752" s="49"/>
      <c r="C752" s="59"/>
      <c r="D752" s="48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1.25" customHeight="1">
      <c r="A753" s="49"/>
      <c r="B753" s="49"/>
      <c r="C753" s="59"/>
      <c r="D753" s="48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1.25" customHeight="1">
      <c r="A754" s="49"/>
      <c r="B754" s="49"/>
      <c r="C754" s="59"/>
      <c r="D754" s="48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1.25" customHeight="1">
      <c r="A755" s="49"/>
      <c r="B755" s="49"/>
      <c r="C755" s="59"/>
      <c r="D755" s="48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1.25" customHeight="1">
      <c r="A756" s="49"/>
      <c r="B756" s="49"/>
      <c r="C756" s="59"/>
      <c r="D756" s="48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1.25" customHeight="1">
      <c r="A757" s="49"/>
      <c r="B757" s="49"/>
      <c r="C757" s="59"/>
      <c r="D757" s="48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1.25" customHeight="1">
      <c r="A758" s="49"/>
      <c r="B758" s="49"/>
      <c r="C758" s="59"/>
      <c r="D758" s="48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1.25" customHeight="1">
      <c r="A759" s="49"/>
      <c r="B759" s="49"/>
      <c r="C759" s="59"/>
      <c r="D759" s="48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1.25" customHeight="1">
      <c r="A760" s="49"/>
      <c r="B760" s="49"/>
      <c r="C760" s="59"/>
      <c r="D760" s="48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1.25" customHeight="1">
      <c r="A761" s="49"/>
      <c r="B761" s="49"/>
      <c r="C761" s="59"/>
      <c r="D761" s="48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1.25" customHeight="1">
      <c r="A762" s="49"/>
      <c r="B762" s="49"/>
      <c r="C762" s="59"/>
      <c r="D762" s="48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1.25" customHeight="1">
      <c r="A763" s="49"/>
      <c r="B763" s="49"/>
      <c r="C763" s="59"/>
      <c r="D763" s="48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1.25" customHeight="1">
      <c r="A764" s="49"/>
      <c r="B764" s="49"/>
      <c r="C764" s="59"/>
      <c r="D764" s="48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1.25" customHeight="1">
      <c r="A765" s="49"/>
      <c r="B765" s="49"/>
      <c r="C765" s="59"/>
      <c r="D765" s="48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1.25" customHeight="1">
      <c r="A766" s="49"/>
      <c r="B766" s="49"/>
      <c r="C766" s="59"/>
      <c r="D766" s="48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1.25" customHeight="1">
      <c r="A767" s="49"/>
      <c r="B767" s="49"/>
      <c r="C767" s="59"/>
      <c r="D767" s="48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1.25" customHeight="1">
      <c r="A768" s="49"/>
      <c r="B768" s="49"/>
      <c r="C768" s="59"/>
      <c r="D768" s="48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1.25" customHeight="1">
      <c r="A769" s="49"/>
      <c r="B769" s="49"/>
      <c r="C769" s="59"/>
      <c r="D769" s="48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1.25" customHeight="1">
      <c r="A770" s="49"/>
      <c r="B770" s="49"/>
      <c r="C770" s="59"/>
      <c r="D770" s="48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1.25" customHeight="1">
      <c r="A771" s="49"/>
      <c r="B771" s="49"/>
      <c r="C771" s="59"/>
      <c r="D771" s="48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1.25" customHeight="1">
      <c r="A772" s="49"/>
      <c r="B772" s="49"/>
      <c r="C772" s="59"/>
      <c r="D772" s="48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1.25" customHeight="1">
      <c r="A773" s="49"/>
      <c r="B773" s="49"/>
      <c r="C773" s="59"/>
      <c r="D773" s="48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1.25" customHeight="1">
      <c r="A774" s="49"/>
      <c r="B774" s="49"/>
      <c r="C774" s="59"/>
      <c r="D774" s="48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1.25" customHeight="1">
      <c r="A775" s="49"/>
      <c r="B775" s="49"/>
      <c r="C775" s="59"/>
      <c r="D775" s="48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1.25" customHeight="1">
      <c r="A776" s="49"/>
      <c r="B776" s="49"/>
      <c r="C776" s="59"/>
      <c r="D776" s="48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1.25" customHeight="1">
      <c r="A777" s="49"/>
      <c r="B777" s="49"/>
      <c r="C777" s="59"/>
      <c r="D777" s="48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1.25" customHeight="1">
      <c r="A778" s="49"/>
      <c r="B778" s="49"/>
      <c r="C778" s="59"/>
      <c r="D778" s="48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1.25" customHeight="1">
      <c r="A779" s="49"/>
      <c r="B779" s="49"/>
      <c r="C779" s="59"/>
      <c r="D779" s="48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1.25" customHeight="1">
      <c r="A780" s="49"/>
      <c r="B780" s="49"/>
      <c r="C780" s="59"/>
      <c r="D780" s="48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1.25" customHeight="1">
      <c r="A781" s="49"/>
      <c r="B781" s="49"/>
      <c r="C781" s="59"/>
      <c r="D781" s="48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1.25" customHeight="1">
      <c r="A782" s="49"/>
      <c r="B782" s="49"/>
      <c r="C782" s="59"/>
      <c r="D782" s="48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1.25" customHeight="1">
      <c r="A783" s="49"/>
      <c r="B783" s="49"/>
      <c r="C783" s="59"/>
      <c r="D783" s="48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1.25" customHeight="1">
      <c r="A784" s="49"/>
      <c r="B784" s="49"/>
      <c r="C784" s="59"/>
      <c r="D784" s="48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1.25" customHeight="1">
      <c r="A785" s="49"/>
      <c r="B785" s="49"/>
      <c r="C785" s="59"/>
      <c r="D785" s="48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1.25" customHeight="1">
      <c r="A786" s="49"/>
      <c r="B786" s="49"/>
      <c r="C786" s="59"/>
      <c r="D786" s="48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1.25" customHeight="1">
      <c r="A787" s="49"/>
      <c r="B787" s="49"/>
      <c r="C787" s="59"/>
      <c r="D787" s="48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1.25" customHeight="1">
      <c r="A788" s="49"/>
      <c r="B788" s="49"/>
      <c r="C788" s="59"/>
      <c r="D788" s="48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1.25" customHeight="1">
      <c r="A789" s="49"/>
      <c r="B789" s="49"/>
      <c r="C789" s="59"/>
      <c r="D789" s="48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1.25" customHeight="1">
      <c r="A790" s="49"/>
      <c r="B790" s="49"/>
      <c r="C790" s="59"/>
      <c r="D790" s="48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1.25" customHeight="1">
      <c r="A791" s="49"/>
      <c r="B791" s="49"/>
      <c r="C791" s="59"/>
      <c r="D791" s="48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1.25" customHeight="1">
      <c r="A792" s="49"/>
      <c r="B792" s="49"/>
      <c r="C792" s="59"/>
      <c r="D792" s="48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1.25" customHeight="1">
      <c r="A793" s="49"/>
      <c r="B793" s="49"/>
      <c r="C793" s="59"/>
      <c r="D793" s="48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1.25" customHeight="1">
      <c r="A794" s="49"/>
      <c r="B794" s="49"/>
      <c r="C794" s="59"/>
      <c r="D794" s="48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1.25" customHeight="1">
      <c r="A795" s="49"/>
      <c r="B795" s="49"/>
      <c r="C795" s="59"/>
      <c r="D795" s="48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1.25" customHeight="1">
      <c r="A796" s="49"/>
      <c r="B796" s="49"/>
      <c r="C796" s="59"/>
      <c r="D796" s="48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1.25" customHeight="1">
      <c r="A797" s="49"/>
      <c r="B797" s="49"/>
      <c r="C797" s="59"/>
      <c r="D797" s="48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1.25" customHeight="1">
      <c r="A798" s="49"/>
      <c r="B798" s="49"/>
      <c r="C798" s="59"/>
      <c r="D798" s="48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1.25" customHeight="1">
      <c r="A799" s="49"/>
      <c r="B799" s="49"/>
      <c r="C799" s="59"/>
      <c r="D799" s="48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1.25" customHeight="1">
      <c r="A800" s="49"/>
      <c r="B800" s="49"/>
      <c r="C800" s="59"/>
      <c r="D800" s="48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1.25" customHeight="1">
      <c r="A801" s="49"/>
      <c r="B801" s="49"/>
      <c r="C801" s="59"/>
      <c r="D801" s="48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1.25" customHeight="1">
      <c r="A802" s="49"/>
      <c r="B802" s="49"/>
      <c r="C802" s="59"/>
      <c r="D802" s="48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1.25" customHeight="1">
      <c r="A803" s="49"/>
      <c r="B803" s="49"/>
      <c r="C803" s="59"/>
      <c r="D803" s="48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1.25" customHeight="1">
      <c r="A804" s="49"/>
      <c r="B804" s="49"/>
      <c r="C804" s="59"/>
      <c r="D804" s="48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1.25" customHeight="1">
      <c r="A805" s="49"/>
      <c r="B805" s="49"/>
      <c r="C805" s="59"/>
      <c r="D805" s="48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1.25" customHeight="1">
      <c r="A806" s="49"/>
      <c r="B806" s="49"/>
      <c r="C806" s="59"/>
      <c r="D806" s="48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1.25" customHeight="1">
      <c r="A807" s="49"/>
      <c r="B807" s="49"/>
      <c r="C807" s="59"/>
      <c r="D807" s="48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1.25" customHeight="1">
      <c r="A808" s="49"/>
      <c r="B808" s="49"/>
      <c r="C808" s="59"/>
      <c r="D808" s="48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1.25" customHeight="1">
      <c r="A809" s="49"/>
      <c r="B809" s="49"/>
      <c r="C809" s="59"/>
      <c r="D809" s="48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1.25" customHeight="1">
      <c r="A810" s="49"/>
      <c r="B810" s="49"/>
      <c r="C810" s="59"/>
      <c r="D810" s="48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1.25" customHeight="1">
      <c r="A811" s="49"/>
      <c r="B811" s="49"/>
      <c r="C811" s="59"/>
      <c r="D811" s="48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1.25" customHeight="1">
      <c r="A812" s="49"/>
      <c r="B812" s="49"/>
      <c r="C812" s="59"/>
      <c r="D812" s="48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1.25" customHeight="1">
      <c r="A813" s="49"/>
      <c r="B813" s="49"/>
      <c r="C813" s="59"/>
      <c r="D813" s="48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1.25" customHeight="1">
      <c r="A814" s="49"/>
      <c r="B814" s="49"/>
      <c r="C814" s="59"/>
      <c r="D814" s="48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1.25" customHeight="1">
      <c r="A815" s="49"/>
      <c r="B815" s="49"/>
      <c r="C815" s="59"/>
      <c r="D815" s="48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1.25" customHeight="1">
      <c r="A816" s="49"/>
      <c r="B816" s="49"/>
      <c r="C816" s="59"/>
      <c r="D816" s="48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1.25" customHeight="1">
      <c r="A817" s="49"/>
      <c r="B817" s="49"/>
      <c r="C817" s="59"/>
      <c r="D817" s="48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1.25" customHeight="1">
      <c r="A818" s="49"/>
      <c r="B818" s="49"/>
      <c r="C818" s="59"/>
      <c r="D818" s="48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1.25" customHeight="1">
      <c r="A819" s="49"/>
      <c r="B819" s="49"/>
      <c r="C819" s="59"/>
      <c r="D819" s="48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1.25" customHeight="1">
      <c r="A820" s="49"/>
      <c r="B820" s="49"/>
      <c r="C820" s="59"/>
      <c r="D820" s="48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1.25" customHeight="1">
      <c r="A821" s="49"/>
      <c r="B821" s="49"/>
      <c r="C821" s="59"/>
      <c r="D821" s="48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1.25" customHeight="1">
      <c r="A822" s="49"/>
      <c r="B822" s="49"/>
      <c r="C822" s="59"/>
      <c r="D822" s="48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1.25" customHeight="1">
      <c r="A823" s="49"/>
      <c r="B823" s="49"/>
      <c r="C823" s="59"/>
      <c r="D823" s="48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1.25" customHeight="1">
      <c r="A824" s="49"/>
      <c r="B824" s="49"/>
      <c r="C824" s="59"/>
      <c r="D824" s="48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1.25" customHeight="1">
      <c r="A825" s="49"/>
      <c r="B825" s="49"/>
      <c r="C825" s="59"/>
      <c r="D825" s="48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1.25" customHeight="1">
      <c r="A826" s="49"/>
      <c r="B826" s="49"/>
      <c r="C826" s="59"/>
      <c r="D826" s="48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1.25" customHeight="1">
      <c r="A827" s="49"/>
      <c r="B827" s="49"/>
      <c r="C827" s="59"/>
      <c r="D827" s="48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1.25" customHeight="1">
      <c r="A828" s="49"/>
      <c r="B828" s="49"/>
      <c r="C828" s="59"/>
      <c r="D828" s="48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1.25" customHeight="1">
      <c r="A829" s="49"/>
      <c r="B829" s="49"/>
      <c r="C829" s="59"/>
      <c r="D829" s="48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1.25" customHeight="1">
      <c r="A830" s="49"/>
      <c r="B830" s="49"/>
      <c r="C830" s="59"/>
      <c r="D830" s="48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1.25" customHeight="1">
      <c r="A831" s="49"/>
      <c r="B831" s="49"/>
      <c r="C831" s="59"/>
      <c r="D831" s="48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1.25" customHeight="1">
      <c r="A832" s="49"/>
      <c r="B832" s="49"/>
      <c r="C832" s="59"/>
      <c r="D832" s="48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1.25" customHeight="1">
      <c r="A833" s="49"/>
      <c r="B833" s="49"/>
      <c r="C833" s="59"/>
      <c r="D833" s="48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1.25" customHeight="1">
      <c r="A834" s="49"/>
      <c r="B834" s="49"/>
      <c r="C834" s="59"/>
      <c r="D834" s="48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1.25" customHeight="1">
      <c r="A835" s="49"/>
      <c r="B835" s="49"/>
      <c r="C835" s="59"/>
      <c r="D835" s="48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1.25" customHeight="1">
      <c r="A836" s="49"/>
      <c r="B836" s="49"/>
      <c r="C836" s="59"/>
      <c r="D836" s="48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1.25" customHeight="1">
      <c r="A837" s="49"/>
      <c r="B837" s="49"/>
      <c r="C837" s="59"/>
      <c r="D837" s="48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1.25" customHeight="1">
      <c r="A838" s="49"/>
      <c r="B838" s="49"/>
      <c r="C838" s="59"/>
      <c r="D838" s="48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1.25" customHeight="1">
      <c r="A839" s="49"/>
      <c r="B839" s="49"/>
      <c r="C839" s="59"/>
      <c r="D839" s="48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1.25" customHeight="1">
      <c r="A840" s="49"/>
      <c r="B840" s="49"/>
      <c r="C840" s="59"/>
      <c r="D840" s="48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1.25" customHeight="1">
      <c r="A841" s="49"/>
      <c r="B841" s="49"/>
      <c r="C841" s="59"/>
      <c r="D841" s="48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1.25" customHeight="1">
      <c r="A842" s="49"/>
      <c r="B842" s="49"/>
      <c r="C842" s="59"/>
      <c r="D842" s="48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1.25" customHeight="1">
      <c r="A843" s="49"/>
      <c r="B843" s="49"/>
      <c r="C843" s="59"/>
      <c r="D843" s="48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1.25" customHeight="1">
      <c r="A844" s="49"/>
      <c r="B844" s="49"/>
      <c r="C844" s="59"/>
      <c r="D844" s="48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1.25" customHeight="1">
      <c r="A845" s="49"/>
      <c r="B845" s="49"/>
      <c r="C845" s="59"/>
      <c r="D845" s="48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1.25" customHeight="1">
      <c r="A846" s="49"/>
      <c r="B846" s="49"/>
      <c r="C846" s="59"/>
      <c r="D846" s="48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1.25" customHeight="1">
      <c r="A847" s="49"/>
      <c r="B847" s="49"/>
      <c r="C847" s="59"/>
      <c r="D847" s="48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1.25" customHeight="1">
      <c r="A848" s="49"/>
      <c r="B848" s="49"/>
      <c r="C848" s="59"/>
      <c r="D848" s="48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1.25" customHeight="1">
      <c r="A849" s="49"/>
      <c r="B849" s="49"/>
      <c r="C849" s="59"/>
      <c r="D849" s="48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1.25" customHeight="1">
      <c r="A850" s="49"/>
      <c r="B850" s="49"/>
      <c r="C850" s="59"/>
      <c r="D850" s="48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1.25" customHeight="1">
      <c r="A851" s="49"/>
      <c r="B851" s="49"/>
      <c r="C851" s="59"/>
      <c r="D851" s="48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1.25" customHeight="1">
      <c r="A852" s="49"/>
      <c r="B852" s="49"/>
      <c r="C852" s="59"/>
      <c r="D852" s="48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1.25" customHeight="1">
      <c r="A853" s="49"/>
      <c r="B853" s="49"/>
      <c r="C853" s="59"/>
      <c r="D853" s="48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1.25" customHeight="1">
      <c r="A854" s="49"/>
      <c r="B854" s="49"/>
      <c r="C854" s="59"/>
      <c r="D854" s="48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1.25" customHeight="1">
      <c r="A855" s="49"/>
      <c r="B855" s="49"/>
      <c r="C855" s="59"/>
      <c r="D855" s="48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1.25" customHeight="1">
      <c r="A856" s="49"/>
      <c r="B856" s="49"/>
      <c r="C856" s="59"/>
      <c r="D856" s="48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1.25" customHeight="1">
      <c r="A857" s="49"/>
      <c r="B857" s="49"/>
      <c r="C857" s="59"/>
      <c r="D857" s="48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1.25" customHeight="1">
      <c r="A858" s="49"/>
      <c r="B858" s="49"/>
      <c r="C858" s="59"/>
      <c r="D858" s="48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1.25" customHeight="1">
      <c r="A859" s="49"/>
      <c r="B859" s="49"/>
      <c r="C859" s="59"/>
      <c r="D859" s="48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1.25" customHeight="1">
      <c r="A860" s="49"/>
      <c r="B860" s="49"/>
      <c r="C860" s="59"/>
      <c r="D860" s="48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1.25" customHeight="1">
      <c r="A861" s="49"/>
      <c r="B861" s="49"/>
      <c r="C861" s="59"/>
      <c r="D861" s="48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1.25" customHeight="1">
      <c r="A862" s="49"/>
      <c r="B862" s="49"/>
      <c r="C862" s="59"/>
      <c r="D862" s="48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1.25" customHeight="1">
      <c r="A863" s="49"/>
      <c r="B863" s="49"/>
      <c r="C863" s="59"/>
      <c r="D863" s="48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1.25" customHeight="1">
      <c r="A864" s="49"/>
      <c r="B864" s="49"/>
      <c r="C864" s="59"/>
      <c r="D864" s="48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1.25" customHeight="1">
      <c r="A865" s="49"/>
      <c r="B865" s="49"/>
      <c r="C865" s="59"/>
      <c r="D865" s="48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1.25" customHeight="1">
      <c r="A866" s="49"/>
      <c r="B866" s="49"/>
      <c r="C866" s="59"/>
      <c r="D866" s="48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1.25" customHeight="1">
      <c r="A867" s="49"/>
      <c r="B867" s="49"/>
      <c r="C867" s="59"/>
      <c r="D867" s="48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1.25" customHeight="1">
      <c r="A868" s="49"/>
      <c r="B868" s="49"/>
      <c r="C868" s="59"/>
      <c r="D868" s="48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1.25" customHeight="1">
      <c r="A869" s="49"/>
      <c r="B869" s="49"/>
      <c r="C869" s="59"/>
      <c r="D869" s="48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1.25" customHeight="1">
      <c r="A870" s="49"/>
      <c r="B870" s="49"/>
      <c r="C870" s="59"/>
      <c r="D870" s="48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1.25" customHeight="1">
      <c r="A871" s="49"/>
      <c r="B871" s="49"/>
      <c r="C871" s="59"/>
      <c r="D871" s="48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1.25" customHeight="1">
      <c r="A872" s="49"/>
      <c r="B872" s="49"/>
      <c r="C872" s="59"/>
      <c r="D872" s="48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1.25" customHeight="1">
      <c r="A873" s="49"/>
      <c r="B873" s="49"/>
      <c r="C873" s="59"/>
      <c r="D873" s="48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1.25" customHeight="1">
      <c r="A874" s="49"/>
      <c r="B874" s="49"/>
      <c r="C874" s="59"/>
      <c r="D874" s="48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1.25" customHeight="1">
      <c r="A875" s="49"/>
      <c r="B875" s="49"/>
      <c r="C875" s="59"/>
      <c r="D875" s="48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1.25" customHeight="1">
      <c r="A876" s="49"/>
      <c r="B876" s="49"/>
      <c r="C876" s="59"/>
      <c r="D876" s="48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1.25" customHeight="1">
      <c r="A877" s="49"/>
      <c r="B877" s="49"/>
      <c r="C877" s="59"/>
      <c r="D877" s="48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1.25" customHeight="1">
      <c r="A878" s="49"/>
      <c r="B878" s="49"/>
      <c r="C878" s="59"/>
      <c r="D878" s="48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1.25" customHeight="1">
      <c r="A879" s="49"/>
      <c r="B879" s="49"/>
      <c r="C879" s="59"/>
      <c r="D879" s="48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1.25" customHeight="1">
      <c r="A880" s="49"/>
      <c r="B880" s="49"/>
      <c r="C880" s="59"/>
      <c r="D880" s="48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1.25" customHeight="1">
      <c r="A881" s="49"/>
      <c r="B881" s="49"/>
      <c r="C881" s="59"/>
      <c r="D881" s="48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1.25" customHeight="1">
      <c r="A882" s="49"/>
      <c r="B882" s="49"/>
      <c r="C882" s="59"/>
      <c r="D882" s="48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1.25" customHeight="1">
      <c r="A883" s="49"/>
      <c r="B883" s="49"/>
      <c r="C883" s="59"/>
      <c r="D883" s="48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1.25" customHeight="1">
      <c r="A884" s="49"/>
      <c r="B884" s="49"/>
      <c r="C884" s="59"/>
      <c r="D884" s="48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1.25" customHeight="1">
      <c r="A885" s="49"/>
      <c r="B885" s="49"/>
      <c r="C885" s="59"/>
      <c r="D885" s="48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1.25" customHeight="1">
      <c r="A886" s="49"/>
      <c r="B886" s="49"/>
      <c r="C886" s="59"/>
      <c r="D886" s="48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1.25" customHeight="1">
      <c r="A887" s="49"/>
      <c r="B887" s="49"/>
      <c r="C887" s="59"/>
      <c r="D887" s="48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1.25" customHeight="1">
      <c r="A888" s="49"/>
      <c r="B888" s="49"/>
      <c r="C888" s="59"/>
      <c r="D888" s="48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1.25" customHeight="1">
      <c r="A889" s="49"/>
      <c r="B889" s="49"/>
      <c r="C889" s="59"/>
      <c r="D889" s="48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1.25" customHeight="1">
      <c r="A890" s="49"/>
      <c r="B890" s="49"/>
      <c r="C890" s="59"/>
      <c r="D890" s="48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1.25" customHeight="1">
      <c r="A891" s="49"/>
      <c r="B891" s="49"/>
      <c r="C891" s="59"/>
      <c r="D891" s="48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1.25" customHeight="1">
      <c r="A892" s="49"/>
      <c r="B892" s="49"/>
      <c r="C892" s="59"/>
      <c r="D892" s="48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1.25" customHeight="1">
      <c r="A893" s="49"/>
      <c r="B893" s="49"/>
      <c r="C893" s="59"/>
      <c r="D893" s="48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1.25" customHeight="1">
      <c r="A894" s="49"/>
      <c r="B894" s="49"/>
      <c r="C894" s="59"/>
      <c r="D894" s="48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1.25" customHeight="1">
      <c r="A895" s="49"/>
      <c r="B895" s="49"/>
      <c r="C895" s="59"/>
      <c r="D895" s="48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1.25" customHeight="1">
      <c r="A896" s="49"/>
      <c r="B896" s="49"/>
      <c r="C896" s="59"/>
      <c r="D896" s="48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1.25" customHeight="1">
      <c r="A897" s="49"/>
      <c r="B897" s="49"/>
      <c r="C897" s="59"/>
      <c r="D897" s="48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1.25" customHeight="1">
      <c r="A898" s="49"/>
      <c r="B898" s="49"/>
      <c r="C898" s="59"/>
      <c r="D898" s="48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1.25" customHeight="1">
      <c r="A899" s="49"/>
      <c r="B899" s="49"/>
      <c r="C899" s="59"/>
      <c r="D899" s="48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1.25" customHeight="1">
      <c r="A900" s="49"/>
      <c r="B900" s="49"/>
      <c r="C900" s="59"/>
      <c r="D900" s="48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1.25" customHeight="1">
      <c r="A901" s="49"/>
      <c r="B901" s="49"/>
      <c r="C901" s="59"/>
      <c r="D901" s="48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1.25" customHeight="1">
      <c r="A902" s="49"/>
      <c r="B902" s="49"/>
      <c r="C902" s="59"/>
      <c r="D902" s="48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1.25" customHeight="1">
      <c r="A903" s="49"/>
      <c r="B903" s="49"/>
      <c r="C903" s="59"/>
      <c r="D903" s="48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1.25" customHeight="1">
      <c r="A904" s="49"/>
      <c r="B904" s="49"/>
      <c r="C904" s="59"/>
      <c r="D904" s="48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1.25" customHeight="1">
      <c r="A905" s="49"/>
      <c r="B905" s="49"/>
      <c r="C905" s="59"/>
      <c r="D905" s="48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1.25" customHeight="1">
      <c r="A906" s="49"/>
      <c r="B906" s="49"/>
      <c r="C906" s="59"/>
      <c r="D906" s="48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1.25" customHeight="1">
      <c r="A907" s="49"/>
      <c r="B907" s="49"/>
      <c r="C907" s="59"/>
      <c r="D907" s="48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1.25" customHeight="1">
      <c r="A908" s="49"/>
      <c r="B908" s="49"/>
      <c r="C908" s="59"/>
      <c r="D908" s="48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1.25" customHeight="1">
      <c r="A909" s="49"/>
      <c r="B909" s="49"/>
      <c r="C909" s="59"/>
      <c r="D909" s="48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1.25" customHeight="1">
      <c r="A910" s="49"/>
      <c r="B910" s="49"/>
      <c r="C910" s="59"/>
      <c r="D910" s="48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1.25" customHeight="1">
      <c r="A911" s="49"/>
      <c r="B911" s="49"/>
      <c r="C911" s="59"/>
      <c r="D911" s="48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1.25" customHeight="1">
      <c r="A912" s="49"/>
      <c r="B912" s="49"/>
      <c r="C912" s="59"/>
      <c r="D912" s="48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1.25" customHeight="1">
      <c r="A913" s="49"/>
      <c r="B913" s="49"/>
      <c r="C913" s="59"/>
      <c r="D913" s="48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1.25" customHeight="1">
      <c r="A914" s="49"/>
      <c r="B914" s="49"/>
      <c r="C914" s="59"/>
      <c r="D914" s="48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1.25" customHeight="1">
      <c r="A915" s="49"/>
      <c r="B915" s="49"/>
      <c r="C915" s="59"/>
      <c r="D915" s="48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1.25" customHeight="1">
      <c r="A916" s="49"/>
      <c r="B916" s="49"/>
      <c r="C916" s="59"/>
      <c r="D916" s="48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1.25" customHeight="1">
      <c r="A917" s="49"/>
      <c r="B917" s="49"/>
      <c r="C917" s="59"/>
      <c r="D917" s="48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1.25" customHeight="1">
      <c r="A918" s="49"/>
      <c r="B918" s="49"/>
      <c r="C918" s="59"/>
      <c r="D918" s="48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1.25" customHeight="1">
      <c r="A919" s="49"/>
      <c r="B919" s="49"/>
      <c r="C919" s="59"/>
      <c r="D919" s="48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1.25" customHeight="1">
      <c r="A920" s="49"/>
      <c r="B920" s="49"/>
      <c r="C920" s="59"/>
      <c r="D920" s="48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1.25" customHeight="1">
      <c r="A921" s="49"/>
      <c r="B921" s="49"/>
      <c r="C921" s="59"/>
      <c r="D921" s="48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1.25" customHeight="1">
      <c r="A922" s="49"/>
      <c r="B922" s="49"/>
      <c r="C922" s="59"/>
      <c r="D922" s="48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1.25" customHeight="1">
      <c r="A923" s="49"/>
      <c r="B923" s="49"/>
      <c r="C923" s="59"/>
      <c r="D923" s="48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1.25" customHeight="1">
      <c r="A924" s="49"/>
      <c r="B924" s="49"/>
      <c r="C924" s="59"/>
      <c r="D924" s="48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1.25" customHeight="1">
      <c r="A925" s="49"/>
      <c r="B925" s="49"/>
      <c r="C925" s="59"/>
      <c r="D925" s="48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1.25" customHeight="1">
      <c r="A926" s="49"/>
      <c r="B926" s="49"/>
      <c r="C926" s="59"/>
      <c r="D926" s="48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1.25" customHeight="1">
      <c r="A927" s="49"/>
      <c r="B927" s="49"/>
      <c r="C927" s="59"/>
      <c r="D927" s="48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1.25" customHeight="1">
      <c r="A928" s="49"/>
      <c r="B928" s="49"/>
      <c r="C928" s="59"/>
      <c r="D928" s="48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1.25" customHeight="1">
      <c r="A929" s="49"/>
      <c r="B929" s="49"/>
      <c r="C929" s="59"/>
      <c r="D929" s="48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1.25" customHeight="1">
      <c r="A930" s="49"/>
      <c r="B930" s="49"/>
      <c r="C930" s="59"/>
      <c r="D930" s="48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1.25" customHeight="1">
      <c r="A931" s="49"/>
      <c r="B931" s="49"/>
      <c r="C931" s="59"/>
      <c r="D931" s="48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1.25" customHeight="1">
      <c r="A932" s="49"/>
      <c r="B932" s="49"/>
      <c r="C932" s="59"/>
      <c r="D932" s="48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1.25" customHeight="1">
      <c r="A933" s="49"/>
      <c r="B933" s="49"/>
      <c r="C933" s="59"/>
      <c r="D933" s="48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1.25" customHeight="1">
      <c r="A934" s="49"/>
      <c r="B934" s="49"/>
      <c r="C934" s="59"/>
      <c r="D934" s="48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1.25" customHeight="1">
      <c r="A935" s="49"/>
      <c r="B935" s="49"/>
      <c r="C935" s="59"/>
      <c r="D935" s="48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1.25" customHeight="1">
      <c r="A936" s="49"/>
      <c r="B936" s="49"/>
      <c r="C936" s="59"/>
      <c r="D936" s="48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1.25" customHeight="1">
      <c r="A937" s="49"/>
      <c r="B937" s="49"/>
      <c r="C937" s="59"/>
      <c r="D937" s="48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1.25" customHeight="1">
      <c r="A938" s="49"/>
      <c r="B938" s="49"/>
      <c r="C938" s="59"/>
      <c r="D938" s="48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1.25" customHeight="1">
      <c r="A939" s="49"/>
      <c r="B939" s="49"/>
      <c r="C939" s="59"/>
      <c r="D939" s="48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1.25" customHeight="1">
      <c r="A940" s="49"/>
      <c r="B940" s="49"/>
      <c r="C940" s="59"/>
      <c r="D940" s="48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1.25" customHeight="1">
      <c r="A941" s="49"/>
      <c r="B941" s="49"/>
      <c r="C941" s="59"/>
      <c r="D941" s="48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1.25" customHeight="1">
      <c r="A942" s="49"/>
      <c r="B942" s="49"/>
      <c r="C942" s="59"/>
      <c r="D942" s="48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1.25" customHeight="1">
      <c r="A943" s="49"/>
      <c r="B943" s="49"/>
      <c r="C943" s="59"/>
      <c r="D943" s="48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1.25" customHeight="1">
      <c r="A944" s="49"/>
      <c r="B944" s="49"/>
      <c r="C944" s="59"/>
      <c r="D944" s="48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1.25" customHeight="1">
      <c r="A945" s="49"/>
      <c r="B945" s="49"/>
      <c r="C945" s="59"/>
      <c r="D945" s="48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1.25" customHeight="1">
      <c r="A946" s="49"/>
      <c r="B946" s="49"/>
      <c r="C946" s="59"/>
      <c r="D946" s="48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1.25" customHeight="1">
      <c r="A947" s="49"/>
      <c r="B947" s="49"/>
      <c r="C947" s="59"/>
      <c r="D947" s="48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1.25" customHeight="1">
      <c r="A948" s="49"/>
      <c r="B948" s="49"/>
      <c r="C948" s="59"/>
      <c r="D948" s="48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1.25" customHeight="1">
      <c r="A949" s="49"/>
      <c r="B949" s="49"/>
      <c r="C949" s="59"/>
      <c r="D949" s="48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1.25" customHeight="1">
      <c r="A950" s="49"/>
      <c r="B950" s="49"/>
      <c r="C950" s="59"/>
      <c r="D950" s="48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1.25" customHeight="1">
      <c r="A951" s="49"/>
      <c r="B951" s="49"/>
      <c r="C951" s="59"/>
      <c r="D951" s="48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1.25" customHeight="1">
      <c r="A952" s="49"/>
      <c r="B952" s="49"/>
      <c r="C952" s="59"/>
      <c r="D952" s="48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1.25" customHeight="1">
      <c r="A953" s="49"/>
      <c r="B953" s="49"/>
      <c r="C953" s="59"/>
      <c r="D953" s="48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1.25" customHeight="1">
      <c r="A954" s="49"/>
      <c r="B954" s="49"/>
      <c r="C954" s="59"/>
      <c r="D954" s="48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1.25" customHeight="1">
      <c r="A955" s="49"/>
      <c r="B955" s="49"/>
      <c r="C955" s="59"/>
      <c r="D955" s="48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1.25" customHeight="1">
      <c r="A956" s="49"/>
      <c r="B956" s="49"/>
      <c r="C956" s="59"/>
      <c r="D956" s="48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1.25" customHeight="1">
      <c r="A957" s="49"/>
      <c r="B957" s="49"/>
      <c r="C957" s="59"/>
      <c r="D957" s="48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1.25" customHeight="1">
      <c r="A958" s="49"/>
      <c r="B958" s="49"/>
      <c r="C958" s="59"/>
      <c r="D958" s="48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1.25" customHeight="1">
      <c r="A959" s="49"/>
      <c r="B959" s="49"/>
      <c r="C959" s="59"/>
      <c r="D959" s="48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1.25" customHeight="1">
      <c r="A960" s="49"/>
      <c r="B960" s="49"/>
      <c r="C960" s="59"/>
      <c r="D960" s="48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1.25" customHeight="1">
      <c r="A961" s="49"/>
      <c r="B961" s="49"/>
      <c r="C961" s="59"/>
      <c r="D961" s="48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1.25" customHeight="1">
      <c r="A962" s="49"/>
      <c r="B962" s="49"/>
      <c r="C962" s="59"/>
      <c r="D962" s="48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1.25" customHeight="1">
      <c r="A963" s="49"/>
      <c r="B963" s="49"/>
      <c r="C963" s="59"/>
      <c r="D963" s="48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1.25" customHeight="1">
      <c r="A964" s="49"/>
      <c r="B964" s="49"/>
      <c r="C964" s="59"/>
      <c r="D964" s="48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1.25" customHeight="1">
      <c r="A965" s="49"/>
      <c r="B965" s="49"/>
      <c r="C965" s="59"/>
      <c r="D965" s="48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1.25" customHeight="1">
      <c r="A966" s="49"/>
      <c r="B966" s="49"/>
      <c r="C966" s="59"/>
      <c r="D966" s="48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1.25" customHeight="1">
      <c r="A967" s="49"/>
      <c r="B967" s="49"/>
      <c r="C967" s="59"/>
      <c r="D967" s="48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1.25" customHeight="1">
      <c r="A968" s="49"/>
      <c r="B968" s="49"/>
      <c r="C968" s="59"/>
      <c r="D968" s="48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1.25" customHeight="1">
      <c r="A969" s="49"/>
      <c r="B969" s="49"/>
      <c r="C969" s="59"/>
      <c r="D969" s="48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1.25" customHeight="1">
      <c r="A970" s="49"/>
      <c r="B970" s="49"/>
      <c r="C970" s="59"/>
      <c r="D970" s="48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1.25" customHeight="1">
      <c r="A971" s="49"/>
      <c r="B971" s="49"/>
      <c r="C971" s="59"/>
      <c r="D971" s="48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1.25" customHeight="1">
      <c r="A972" s="49"/>
      <c r="B972" s="49"/>
      <c r="C972" s="59"/>
      <c r="D972" s="48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1.25" customHeight="1">
      <c r="A973" s="49"/>
      <c r="B973" s="49"/>
      <c r="C973" s="59"/>
      <c r="D973" s="48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1.25" customHeight="1">
      <c r="A974" s="49"/>
      <c r="B974" s="49"/>
      <c r="C974" s="59"/>
      <c r="D974" s="48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1.25" customHeight="1">
      <c r="A975" s="49"/>
      <c r="B975" s="49"/>
      <c r="C975" s="59"/>
      <c r="D975" s="48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1.25" customHeight="1">
      <c r="A976" s="49"/>
      <c r="B976" s="49"/>
      <c r="C976" s="59"/>
      <c r="D976" s="48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1.25" customHeight="1">
      <c r="A977" s="49"/>
      <c r="B977" s="49"/>
      <c r="C977" s="59"/>
      <c r="D977" s="48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1.25" customHeight="1">
      <c r="A978" s="49"/>
      <c r="B978" s="49"/>
      <c r="C978" s="59"/>
      <c r="D978" s="48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1.25" customHeight="1">
      <c r="A979" s="49"/>
      <c r="B979" s="49"/>
      <c r="C979" s="59"/>
      <c r="D979" s="48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1.25" customHeight="1">
      <c r="A980" s="49"/>
      <c r="B980" s="49"/>
      <c r="C980" s="59"/>
      <c r="D980" s="48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1.25" customHeight="1">
      <c r="A981" s="49"/>
      <c r="B981" s="49"/>
      <c r="C981" s="59"/>
      <c r="D981" s="48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1.25" customHeight="1">
      <c r="A982" s="49"/>
      <c r="B982" s="49"/>
      <c r="C982" s="59"/>
      <c r="D982" s="48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1.25" customHeight="1">
      <c r="A983" s="49"/>
      <c r="B983" s="49"/>
      <c r="C983" s="59"/>
      <c r="D983" s="48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1.25" customHeight="1">
      <c r="A984" s="49"/>
      <c r="B984" s="49"/>
      <c r="C984" s="59"/>
      <c r="D984" s="48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1.25" customHeight="1">
      <c r="A985" s="49"/>
      <c r="B985" s="49"/>
      <c r="C985" s="59"/>
      <c r="D985" s="48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1.25" customHeight="1">
      <c r="A986" s="49"/>
      <c r="B986" s="49"/>
      <c r="C986" s="59"/>
      <c r="D986" s="48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1.25" customHeight="1">
      <c r="A987" s="49"/>
      <c r="B987" s="49"/>
      <c r="C987" s="59"/>
      <c r="D987" s="48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1.25" customHeight="1">
      <c r="A988" s="49"/>
      <c r="B988" s="49"/>
      <c r="C988" s="59"/>
      <c r="D988" s="48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1.25" customHeight="1">
      <c r="A989" s="49"/>
      <c r="B989" s="49"/>
      <c r="C989" s="59"/>
      <c r="D989" s="48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1.25" customHeight="1">
      <c r="A990" s="49"/>
      <c r="B990" s="49"/>
      <c r="C990" s="59"/>
      <c r="D990" s="48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1.25" customHeight="1">
      <c r="A991" s="49"/>
      <c r="B991" s="49"/>
      <c r="C991" s="59"/>
      <c r="D991" s="48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ht="11.25" customHeight="1">
      <c r="A992" s="49"/>
      <c r="B992" s="49"/>
      <c r="C992" s="59"/>
      <c r="D992" s="48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ht="11.25" customHeight="1">
      <c r="A993" s="49"/>
      <c r="B993" s="49"/>
      <c r="C993" s="59"/>
      <c r="D993" s="48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ht="11.25" customHeight="1">
      <c r="A994" s="49"/>
      <c r="B994" s="49"/>
      <c r="C994" s="59"/>
      <c r="D994" s="48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ht="11.25" customHeight="1">
      <c r="A995" s="49"/>
      <c r="B995" s="49"/>
      <c r="C995" s="59"/>
      <c r="D995" s="48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1:26" ht="11.25" customHeight="1">
      <c r="A996" s="49"/>
      <c r="B996" s="49"/>
      <c r="C996" s="59"/>
      <c r="D996" s="48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spans="1:26" ht="11.25" customHeight="1">
      <c r="A997" s="49"/>
      <c r="B997" s="49"/>
      <c r="C997" s="59"/>
      <c r="D997" s="48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spans="1:26" ht="11.25" customHeight="1">
      <c r="A998" s="49"/>
      <c r="B998" s="49"/>
      <c r="C998" s="59"/>
      <c r="D998" s="48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spans="1:26" ht="11.25" customHeight="1">
      <c r="A999" s="49"/>
      <c r="B999" s="49"/>
      <c r="C999" s="59"/>
      <c r="D999" s="48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spans="1:26" ht="11.25" customHeight="1">
      <c r="A1000" s="49"/>
      <c r="B1000" s="49"/>
      <c r="C1000" s="59"/>
      <c r="D1000" s="48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B1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11" sqref="L3:L11"/>
    </sheetView>
  </sheetViews>
  <sheetFormatPr baseColWidth="10" defaultColWidth="14.44140625" defaultRowHeight="15" customHeight="1"/>
  <cols>
    <col min="1" max="1" width="17.109375" customWidth="1"/>
    <col min="2" max="2" width="10.33203125" customWidth="1"/>
    <col min="3" max="3" width="8.5546875" customWidth="1"/>
    <col min="4" max="4" width="9.88671875" customWidth="1"/>
    <col min="5" max="6" width="8.88671875" customWidth="1"/>
    <col min="7" max="7" width="20.109375" customWidth="1"/>
    <col min="8" max="11" width="8.88671875" customWidth="1"/>
    <col min="12" max="12" width="10.33203125" customWidth="1"/>
    <col min="13" max="26" width="8.88671875" customWidth="1"/>
  </cols>
  <sheetData>
    <row r="1" spans="1:12" ht="14.4">
      <c r="D1" s="30"/>
    </row>
    <row r="2" spans="1:12" ht="14.4">
      <c r="A2" s="60" t="s">
        <v>67</v>
      </c>
      <c r="B2" s="61" t="s">
        <v>1465</v>
      </c>
      <c r="C2" s="62" t="s">
        <v>1466</v>
      </c>
      <c r="D2" s="63" t="s">
        <v>1467</v>
      </c>
      <c r="G2" s="64" t="s">
        <v>1468</v>
      </c>
      <c r="L2" s="64" t="s">
        <v>1465</v>
      </c>
    </row>
    <row r="3" spans="1:12" ht="14.4">
      <c r="A3" s="65" t="s">
        <v>1469</v>
      </c>
      <c r="B3" s="66" t="s">
        <v>1470</v>
      </c>
      <c r="C3" s="21">
        <v>25102001</v>
      </c>
      <c r="D3" s="67" t="s">
        <v>1471</v>
      </c>
      <c r="G3" s="68" t="s">
        <v>1472</v>
      </c>
      <c r="L3" s="10" t="s">
        <v>1470</v>
      </c>
    </row>
    <row r="4" spans="1:12" ht="14.4">
      <c r="A4" s="65" t="s">
        <v>1473</v>
      </c>
      <c r="B4" s="66" t="s">
        <v>1470</v>
      </c>
      <c r="C4" s="21">
        <v>25102002</v>
      </c>
      <c r="D4" s="67" t="s">
        <v>1471</v>
      </c>
      <c r="G4" s="68" t="s">
        <v>6</v>
      </c>
      <c r="L4" s="10" t="s">
        <v>1474</v>
      </c>
    </row>
    <row r="5" spans="1:12" ht="14.4">
      <c r="A5" s="65" t="s">
        <v>1475</v>
      </c>
      <c r="B5" s="66" t="s">
        <v>1470</v>
      </c>
      <c r="C5" s="21">
        <v>25102004</v>
      </c>
      <c r="D5" s="67" t="s">
        <v>1471</v>
      </c>
      <c r="G5" s="68" t="s">
        <v>1476</v>
      </c>
      <c r="L5" s="10" t="s">
        <v>1477</v>
      </c>
    </row>
    <row r="6" spans="1:12" ht="14.4">
      <c r="A6" s="65" t="s">
        <v>1478</v>
      </c>
      <c r="B6" s="66" t="s">
        <v>1470</v>
      </c>
      <c r="C6" s="21">
        <v>25102005</v>
      </c>
      <c r="D6" s="67" t="s">
        <v>1471</v>
      </c>
      <c r="G6" s="68" t="s">
        <v>1479</v>
      </c>
      <c r="L6" s="10" t="s">
        <v>1480</v>
      </c>
    </row>
    <row r="7" spans="1:12" ht="14.4">
      <c r="A7" s="65" t="s">
        <v>1481</v>
      </c>
      <c r="B7" s="66" t="s">
        <v>1470</v>
      </c>
      <c r="C7" s="21">
        <v>25102006</v>
      </c>
      <c r="D7" s="67" t="s">
        <v>1471</v>
      </c>
      <c r="G7" s="68" t="s">
        <v>1482</v>
      </c>
      <c r="L7" s="10" t="s">
        <v>1483</v>
      </c>
    </row>
    <row r="8" spans="1:12" ht="14.4">
      <c r="A8" s="65" t="s">
        <v>1484</v>
      </c>
      <c r="B8" s="66" t="s">
        <v>1470</v>
      </c>
      <c r="C8" s="21">
        <v>25102008</v>
      </c>
      <c r="D8" s="67" t="s">
        <v>1471</v>
      </c>
      <c r="G8" s="68" t="s">
        <v>1485</v>
      </c>
      <c r="L8" s="10" t="s">
        <v>1486</v>
      </c>
    </row>
    <row r="9" spans="1:12" ht="14.4">
      <c r="A9" s="65" t="s">
        <v>1487</v>
      </c>
      <c r="B9" s="66" t="s">
        <v>1470</v>
      </c>
      <c r="C9" s="21">
        <v>25102009</v>
      </c>
      <c r="D9" s="67" t="s">
        <v>1471</v>
      </c>
      <c r="G9" s="68" t="s">
        <v>1488</v>
      </c>
      <c r="L9" s="10" t="s">
        <v>1489</v>
      </c>
    </row>
    <row r="10" spans="1:12" ht="14.4">
      <c r="A10" s="65" t="s">
        <v>1490</v>
      </c>
      <c r="B10" s="66" t="s">
        <v>1470</v>
      </c>
      <c r="C10" s="21">
        <v>25102011</v>
      </c>
      <c r="D10" s="67" t="s">
        <v>1471</v>
      </c>
      <c r="G10" s="68"/>
      <c r="L10" s="10" t="s">
        <v>1491</v>
      </c>
    </row>
    <row r="11" spans="1:12" ht="14.4">
      <c r="A11" s="65" t="s">
        <v>1492</v>
      </c>
      <c r="B11" s="66" t="s">
        <v>1470</v>
      </c>
      <c r="C11" s="21">
        <v>25102013</v>
      </c>
      <c r="D11" s="67" t="s">
        <v>1471</v>
      </c>
      <c r="G11" s="68"/>
      <c r="L11" s="10" t="s">
        <v>1493</v>
      </c>
    </row>
    <row r="12" spans="1:12" ht="14.4">
      <c r="A12" s="65" t="s">
        <v>1494</v>
      </c>
      <c r="B12" s="66" t="s">
        <v>1470</v>
      </c>
      <c r="C12" s="21">
        <v>25102014</v>
      </c>
      <c r="D12" s="67" t="s">
        <v>1471</v>
      </c>
      <c r="G12" s="68"/>
      <c r="L12" s="10"/>
    </row>
    <row r="13" spans="1:12" ht="14.4">
      <c r="A13" s="65" t="s">
        <v>1495</v>
      </c>
      <c r="B13" s="66" t="s">
        <v>1470</v>
      </c>
      <c r="C13" s="21">
        <v>25102017</v>
      </c>
      <c r="D13" s="67" t="s">
        <v>1471</v>
      </c>
      <c r="G13" s="68"/>
      <c r="L13" s="10"/>
    </row>
    <row r="14" spans="1:12" ht="14.4">
      <c r="A14" s="65" t="s">
        <v>1496</v>
      </c>
      <c r="B14" s="66" t="s">
        <v>1470</v>
      </c>
      <c r="C14" s="21">
        <v>25102018</v>
      </c>
      <c r="D14" s="67" t="s">
        <v>1471</v>
      </c>
      <c r="G14" s="68"/>
      <c r="L14" s="10"/>
    </row>
    <row r="15" spans="1:12" ht="14.4">
      <c r="A15" s="65" t="s">
        <v>1497</v>
      </c>
      <c r="B15" s="66" t="s">
        <v>1470</v>
      </c>
      <c r="C15" s="21">
        <v>25102019</v>
      </c>
      <c r="D15" s="67" t="s">
        <v>1471</v>
      </c>
      <c r="G15" s="68"/>
      <c r="L15" s="10"/>
    </row>
    <row r="16" spans="1:12" ht="14.4">
      <c r="A16" s="65" t="s">
        <v>1498</v>
      </c>
      <c r="B16" s="66" t="s">
        <v>1470</v>
      </c>
      <c r="C16" s="21">
        <v>25102020</v>
      </c>
      <c r="D16" s="67" t="s">
        <v>1471</v>
      </c>
      <c r="G16" s="68"/>
      <c r="L16" s="10"/>
    </row>
    <row r="17" spans="1:7" ht="14.4">
      <c r="A17" s="65" t="s">
        <v>1499</v>
      </c>
      <c r="B17" s="66" t="s">
        <v>1470</v>
      </c>
      <c r="C17" s="21">
        <v>25102021</v>
      </c>
      <c r="D17" s="67" t="s">
        <v>1471</v>
      </c>
      <c r="G17" s="68"/>
    </row>
    <row r="18" spans="1:7" ht="14.4">
      <c r="A18" s="65" t="s">
        <v>1500</v>
      </c>
      <c r="B18" s="66" t="s">
        <v>1470</v>
      </c>
      <c r="C18" s="21">
        <v>25102022</v>
      </c>
      <c r="D18" s="67" t="s">
        <v>1471</v>
      </c>
      <c r="G18" s="68"/>
    </row>
    <row r="19" spans="1:7" ht="14.4">
      <c r="A19" s="65" t="s">
        <v>1501</v>
      </c>
      <c r="B19" s="66" t="s">
        <v>1470</v>
      </c>
      <c r="C19" s="21">
        <v>25102023</v>
      </c>
      <c r="D19" s="67" t="s">
        <v>1471</v>
      </c>
    </row>
    <row r="20" spans="1:7" ht="14.4">
      <c r="A20" s="65" t="s">
        <v>1502</v>
      </c>
      <c r="B20" s="66" t="s">
        <v>1470</v>
      </c>
      <c r="C20" s="21">
        <v>25102024</v>
      </c>
      <c r="D20" s="67" t="s">
        <v>1471</v>
      </c>
    </row>
    <row r="21" spans="1:7" ht="15.75" customHeight="1">
      <c r="A21" s="65" t="s">
        <v>1503</v>
      </c>
      <c r="B21" s="66" t="s">
        <v>1470</v>
      </c>
      <c r="C21" s="21">
        <v>25102025</v>
      </c>
      <c r="D21" s="67" t="s">
        <v>1471</v>
      </c>
    </row>
    <row r="22" spans="1:7" ht="15.75" customHeight="1">
      <c r="A22" s="65" t="s">
        <v>1504</v>
      </c>
      <c r="B22" s="66" t="s">
        <v>1470</v>
      </c>
      <c r="C22" s="21">
        <v>25102026</v>
      </c>
      <c r="D22" s="67" t="s">
        <v>1471</v>
      </c>
    </row>
    <row r="23" spans="1:7" ht="15.75" customHeight="1">
      <c r="A23" s="65" t="s">
        <v>1505</v>
      </c>
      <c r="B23" s="66" t="s">
        <v>1470</v>
      </c>
      <c r="C23" s="21">
        <v>25102030</v>
      </c>
      <c r="D23" s="67" t="s">
        <v>1471</v>
      </c>
    </row>
    <row r="24" spans="1:7" ht="15.75" customHeight="1">
      <c r="A24" s="65" t="s">
        <v>1506</v>
      </c>
      <c r="B24" s="66" t="s">
        <v>1470</v>
      </c>
      <c r="C24" s="21">
        <v>25102034</v>
      </c>
      <c r="D24" s="67" t="s">
        <v>1471</v>
      </c>
    </row>
    <row r="25" spans="1:7" ht="15.75" customHeight="1">
      <c r="A25" s="65" t="s">
        <v>1507</v>
      </c>
      <c r="B25" s="66" t="s">
        <v>1470</v>
      </c>
      <c r="C25" s="21">
        <v>25102028</v>
      </c>
      <c r="D25" s="67" t="s">
        <v>1471</v>
      </c>
    </row>
    <row r="26" spans="1:7" ht="15.75" customHeight="1">
      <c r="A26" s="65" t="s">
        <v>1508</v>
      </c>
      <c r="B26" s="66" t="s">
        <v>1470</v>
      </c>
      <c r="C26" s="21">
        <v>25102029</v>
      </c>
      <c r="D26" s="67" t="s">
        <v>1471</v>
      </c>
    </row>
    <row r="27" spans="1:7" ht="15.75" customHeight="1">
      <c r="A27" s="65" t="s">
        <v>1509</v>
      </c>
      <c r="B27" s="66" t="s">
        <v>1470</v>
      </c>
      <c r="C27" s="21">
        <v>25102039</v>
      </c>
      <c r="D27" s="67" t="s">
        <v>1471</v>
      </c>
    </row>
    <row r="28" spans="1:7" ht="15.75" customHeight="1">
      <c r="A28" s="65" t="s">
        <v>1510</v>
      </c>
      <c r="B28" s="66" t="s">
        <v>1470</v>
      </c>
      <c r="C28" s="21">
        <v>25102038</v>
      </c>
      <c r="D28" s="67" t="s">
        <v>1471</v>
      </c>
    </row>
    <row r="29" spans="1:7" ht="15.75" customHeight="1">
      <c r="A29" s="65" t="s">
        <v>1511</v>
      </c>
      <c r="B29" s="66" t="s">
        <v>1470</v>
      </c>
      <c r="C29" s="21">
        <v>25102032</v>
      </c>
      <c r="D29" s="67" t="s">
        <v>1471</v>
      </c>
    </row>
    <row r="30" spans="1:7" ht="15.75" customHeight="1">
      <c r="A30" s="65" t="s">
        <v>1512</v>
      </c>
      <c r="B30" s="66" t="s">
        <v>1470</v>
      </c>
      <c r="C30" s="21">
        <v>25102042</v>
      </c>
      <c r="D30" s="67" t="s">
        <v>1471</v>
      </c>
    </row>
    <row r="31" spans="1:7" ht="15.75" customHeight="1">
      <c r="A31" s="65" t="s">
        <v>1513</v>
      </c>
      <c r="B31" s="66" t="s">
        <v>1470</v>
      </c>
      <c r="C31" s="21">
        <v>25102050</v>
      </c>
      <c r="D31" s="67" t="s">
        <v>1471</v>
      </c>
    </row>
    <row r="32" spans="1:7" ht="15.75" customHeight="1">
      <c r="A32" s="65" t="s">
        <v>1514</v>
      </c>
      <c r="B32" s="66" t="s">
        <v>1470</v>
      </c>
      <c r="C32" s="21">
        <v>25102046</v>
      </c>
      <c r="D32" s="67" t="s">
        <v>1471</v>
      </c>
    </row>
    <row r="33" spans="1:4" ht="15.75" customHeight="1">
      <c r="A33" s="65" t="s">
        <v>1515</v>
      </c>
      <c r="B33" s="66" t="s">
        <v>1470</v>
      </c>
      <c r="C33" s="21">
        <v>25102045</v>
      </c>
      <c r="D33" s="67" t="s">
        <v>1471</v>
      </c>
    </row>
    <row r="34" spans="1:4" ht="15.75" customHeight="1">
      <c r="A34" s="65" t="s">
        <v>1516</v>
      </c>
      <c r="B34" s="66" t="s">
        <v>1470</v>
      </c>
      <c r="C34" s="21">
        <v>25102049</v>
      </c>
      <c r="D34" s="67" t="s">
        <v>1471</v>
      </c>
    </row>
    <row r="35" spans="1:4" ht="15.75" customHeight="1">
      <c r="A35" s="65" t="s">
        <v>1517</v>
      </c>
      <c r="B35" s="66" t="s">
        <v>1470</v>
      </c>
      <c r="C35" s="21">
        <v>25102043</v>
      </c>
      <c r="D35" s="67" t="s">
        <v>1471</v>
      </c>
    </row>
    <row r="36" spans="1:4" ht="15.75" customHeight="1">
      <c r="A36" s="65" t="s">
        <v>1518</v>
      </c>
      <c r="B36" s="66" t="s">
        <v>1470</v>
      </c>
      <c r="C36" s="21">
        <v>25102044</v>
      </c>
      <c r="D36" s="67" t="s">
        <v>1471</v>
      </c>
    </row>
    <row r="37" spans="1:4" ht="15.75" customHeight="1">
      <c r="A37" s="65" t="s">
        <v>1519</v>
      </c>
      <c r="B37" s="66" t="s">
        <v>1470</v>
      </c>
      <c r="C37" s="21">
        <v>25102037</v>
      </c>
      <c r="D37" s="67" t="s">
        <v>1471</v>
      </c>
    </row>
    <row r="38" spans="1:4" ht="15.75" customHeight="1">
      <c r="A38" s="65" t="s">
        <v>1520</v>
      </c>
      <c r="B38" s="66" t="s">
        <v>1470</v>
      </c>
      <c r="C38" s="21">
        <v>25102078</v>
      </c>
      <c r="D38" s="67" t="s">
        <v>1471</v>
      </c>
    </row>
    <row r="39" spans="1:4" ht="15.75" customHeight="1">
      <c r="A39" s="65" t="s">
        <v>1521</v>
      </c>
      <c r="B39" s="66" t="s">
        <v>1470</v>
      </c>
      <c r="C39" s="21">
        <v>25102052</v>
      </c>
      <c r="D39" s="67" t="s">
        <v>1471</v>
      </c>
    </row>
    <row r="40" spans="1:4" ht="15.75" customHeight="1">
      <c r="A40" s="65" t="s">
        <v>1522</v>
      </c>
      <c r="B40" s="66" t="s">
        <v>1470</v>
      </c>
      <c r="C40" s="21">
        <v>25102051</v>
      </c>
      <c r="D40" s="67" t="s">
        <v>1471</v>
      </c>
    </row>
    <row r="41" spans="1:4" ht="15.75" customHeight="1">
      <c r="A41" s="65" t="s">
        <v>1523</v>
      </c>
      <c r="B41" s="66" t="s">
        <v>1470</v>
      </c>
      <c r="C41" s="21">
        <v>25102003</v>
      </c>
      <c r="D41" s="67" t="s">
        <v>1471</v>
      </c>
    </row>
    <row r="42" spans="1:4" ht="15.75" customHeight="1">
      <c r="A42" s="65" t="s">
        <v>1524</v>
      </c>
      <c r="B42" s="66" t="s">
        <v>1470</v>
      </c>
      <c r="C42" s="21">
        <v>25102055</v>
      </c>
      <c r="D42" s="67" t="s">
        <v>1471</v>
      </c>
    </row>
    <row r="43" spans="1:4" ht="15.75" customHeight="1">
      <c r="A43" s="65" t="s">
        <v>1525</v>
      </c>
      <c r="B43" s="66" t="s">
        <v>1474</v>
      </c>
      <c r="C43" s="21">
        <v>2202001</v>
      </c>
      <c r="D43" s="67" t="s">
        <v>1526</v>
      </c>
    </row>
    <row r="44" spans="1:4" ht="15.75" customHeight="1">
      <c r="A44" s="65" t="s">
        <v>1527</v>
      </c>
      <c r="B44" s="66" t="s">
        <v>1470</v>
      </c>
      <c r="C44" s="21">
        <v>25102063</v>
      </c>
      <c r="D44" s="67" t="s">
        <v>1471</v>
      </c>
    </row>
    <row r="45" spans="1:4" ht="15.75" customHeight="1">
      <c r="A45" s="65" t="s">
        <v>1528</v>
      </c>
      <c r="B45" s="66" t="s">
        <v>1470</v>
      </c>
      <c r="C45" s="21">
        <v>25102069</v>
      </c>
      <c r="D45" s="67" t="s">
        <v>1471</v>
      </c>
    </row>
    <row r="46" spans="1:4" ht="15.75" customHeight="1">
      <c r="A46" s="65" t="s">
        <v>1529</v>
      </c>
      <c r="B46" s="66" t="s">
        <v>1470</v>
      </c>
      <c r="C46" s="21">
        <v>25102128</v>
      </c>
      <c r="D46" s="67" t="s">
        <v>1471</v>
      </c>
    </row>
    <row r="47" spans="1:4" ht="15.75" customHeight="1">
      <c r="A47" s="65" t="s">
        <v>1530</v>
      </c>
      <c r="B47" s="66" t="s">
        <v>1470</v>
      </c>
      <c r="C47" s="21">
        <v>25102053</v>
      </c>
      <c r="D47" s="67" t="s">
        <v>1471</v>
      </c>
    </row>
    <row r="48" spans="1:4" ht="15.75" customHeight="1">
      <c r="A48" s="65" t="s">
        <v>1531</v>
      </c>
      <c r="B48" s="66" t="s">
        <v>1470</v>
      </c>
      <c r="C48" s="21">
        <v>25102060</v>
      </c>
      <c r="D48" s="67" t="s">
        <v>1471</v>
      </c>
    </row>
    <row r="49" spans="1:4" ht="15.75" customHeight="1">
      <c r="A49" s="65" t="s">
        <v>1532</v>
      </c>
      <c r="B49" s="66" t="s">
        <v>1470</v>
      </c>
      <c r="C49" s="21">
        <v>25102075</v>
      </c>
      <c r="D49" s="67" t="s">
        <v>1471</v>
      </c>
    </row>
    <row r="50" spans="1:4" ht="15.75" customHeight="1">
      <c r="A50" s="65" t="s">
        <v>1533</v>
      </c>
      <c r="B50" s="66" t="s">
        <v>1470</v>
      </c>
      <c r="C50" s="21">
        <v>25102094</v>
      </c>
      <c r="D50" s="67" t="s">
        <v>1471</v>
      </c>
    </row>
    <row r="51" spans="1:4" ht="15.75" customHeight="1">
      <c r="A51" s="65" t="s">
        <v>1534</v>
      </c>
      <c r="B51" s="66" t="s">
        <v>1470</v>
      </c>
      <c r="C51" s="21">
        <v>25102084</v>
      </c>
      <c r="D51" s="67" t="s">
        <v>1471</v>
      </c>
    </row>
    <row r="52" spans="1:4" ht="15.75" customHeight="1">
      <c r="A52" s="65" t="s">
        <v>1535</v>
      </c>
      <c r="B52" s="66" t="s">
        <v>1470</v>
      </c>
      <c r="C52" s="21">
        <v>25102056</v>
      </c>
      <c r="D52" s="67" t="s">
        <v>1471</v>
      </c>
    </row>
    <row r="53" spans="1:4" ht="15.75" customHeight="1">
      <c r="A53" s="65" t="s">
        <v>1536</v>
      </c>
      <c r="B53" s="66" t="s">
        <v>1470</v>
      </c>
      <c r="C53" s="21">
        <v>25102065</v>
      </c>
      <c r="D53" s="67" t="s">
        <v>1471</v>
      </c>
    </row>
    <row r="54" spans="1:4" ht="15.75" customHeight="1">
      <c r="A54" s="65" t="s">
        <v>1537</v>
      </c>
      <c r="B54" s="66" t="s">
        <v>1470</v>
      </c>
      <c r="C54" s="21">
        <v>25102088</v>
      </c>
      <c r="D54" s="67" t="s">
        <v>1471</v>
      </c>
    </row>
    <row r="55" spans="1:4" ht="15.75" customHeight="1">
      <c r="A55" s="65" t="s">
        <v>1538</v>
      </c>
      <c r="B55" s="66" t="s">
        <v>1470</v>
      </c>
      <c r="C55" s="21">
        <v>25102126</v>
      </c>
      <c r="D55" s="67" t="s">
        <v>1471</v>
      </c>
    </row>
    <row r="56" spans="1:4" ht="15.75" customHeight="1">
      <c r="A56" s="65" t="s">
        <v>1539</v>
      </c>
      <c r="B56" s="66" t="s">
        <v>1470</v>
      </c>
      <c r="C56" s="21">
        <v>25102010</v>
      </c>
      <c r="D56" s="67" t="s">
        <v>1471</v>
      </c>
    </row>
    <row r="57" spans="1:4" ht="15.75" customHeight="1">
      <c r="A57" s="65" t="s">
        <v>1540</v>
      </c>
      <c r="B57" s="66" t="s">
        <v>1474</v>
      </c>
      <c r="C57" s="21">
        <v>2202003</v>
      </c>
      <c r="D57" s="67" t="s">
        <v>1526</v>
      </c>
    </row>
    <row r="58" spans="1:4" ht="15.75" customHeight="1">
      <c r="A58" s="65" t="s">
        <v>1541</v>
      </c>
      <c r="B58" s="66" t="s">
        <v>1470</v>
      </c>
      <c r="C58" s="21">
        <v>25102093</v>
      </c>
      <c r="D58" s="67" t="s">
        <v>1471</v>
      </c>
    </row>
    <row r="59" spans="1:4" ht="15.75" customHeight="1">
      <c r="A59" s="65" t="s">
        <v>1542</v>
      </c>
      <c r="B59" s="66" t="s">
        <v>1470</v>
      </c>
      <c r="C59" s="21">
        <v>25102086</v>
      </c>
      <c r="D59" s="67" t="s">
        <v>1471</v>
      </c>
    </row>
    <row r="60" spans="1:4" ht="15.75" customHeight="1">
      <c r="A60" s="65" t="s">
        <v>1543</v>
      </c>
      <c r="B60" s="66" t="s">
        <v>1474</v>
      </c>
      <c r="C60" s="21">
        <v>2202002</v>
      </c>
      <c r="D60" s="67" t="s">
        <v>1526</v>
      </c>
    </row>
    <row r="61" spans="1:4" ht="15.75" customHeight="1">
      <c r="A61" s="65" t="s">
        <v>1544</v>
      </c>
      <c r="B61" s="66" t="s">
        <v>1470</v>
      </c>
      <c r="C61" s="21">
        <v>25102097</v>
      </c>
      <c r="D61" s="67" t="s">
        <v>1471</v>
      </c>
    </row>
    <row r="62" spans="1:4" ht="15.75" customHeight="1">
      <c r="A62" s="65" t="s">
        <v>1545</v>
      </c>
      <c r="B62" s="66" t="s">
        <v>1470</v>
      </c>
      <c r="C62" s="21">
        <v>25102098</v>
      </c>
      <c r="D62" s="67" t="s">
        <v>1471</v>
      </c>
    </row>
    <row r="63" spans="1:4" ht="15.75" customHeight="1">
      <c r="A63" s="65" t="s">
        <v>1546</v>
      </c>
      <c r="B63" s="66" t="s">
        <v>1470</v>
      </c>
      <c r="C63" s="21">
        <v>25102035</v>
      </c>
      <c r="D63" s="67" t="s">
        <v>1471</v>
      </c>
    </row>
    <row r="64" spans="1:4" ht="15.75" customHeight="1">
      <c r="A64" s="65" t="s">
        <v>1547</v>
      </c>
      <c r="B64" s="66" t="s">
        <v>1470</v>
      </c>
      <c r="C64" s="21">
        <v>25102115</v>
      </c>
      <c r="D64" s="67" t="s">
        <v>1471</v>
      </c>
    </row>
    <row r="65" spans="1:4" ht="15.75" customHeight="1">
      <c r="A65" s="65" t="s">
        <v>1548</v>
      </c>
      <c r="B65" s="66" t="s">
        <v>1470</v>
      </c>
      <c r="C65" s="21">
        <v>25102089</v>
      </c>
      <c r="D65" s="67" t="s">
        <v>1471</v>
      </c>
    </row>
    <row r="66" spans="1:4" ht="15.75" customHeight="1">
      <c r="A66" s="65" t="s">
        <v>1549</v>
      </c>
      <c r="B66" s="66" t="s">
        <v>1470</v>
      </c>
      <c r="C66" s="21">
        <v>25102127</v>
      </c>
      <c r="D66" s="67" t="s">
        <v>1471</v>
      </c>
    </row>
    <row r="67" spans="1:4" ht="15.75" customHeight="1">
      <c r="A67" s="65" t="s">
        <v>1550</v>
      </c>
      <c r="B67" s="66" t="s">
        <v>1470</v>
      </c>
      <c r="C67" s="21">
        <v>25102099</v>
      </c>
      <c r="D67" s="67" t="s">
        <v>1471</v>
      </c>
    </row>
    <row r="68" spans="1:4" ht="15.75" customHeight="1">
      <c r="A68" s="65" t="s">
        <v>1551</v>
      </c>
      <c r="B68" s="66" t="s">
        <v>1474</v>
      </c>
      <c r="C68" s="21">
        <v>2202004</v>
      </c>
      <c r="D68" s="67" t="s">
        <v>1526</v>
      </c>
    </row>
    <row r="69" spans="1:4" ht="15.75" customHeight="1">
      <c r="A69" s="65" t="s">
        <v>1552</v>
      </c>
      <c r="B69" s="66" t="s">
        <v>1470</v>
      </c>
      <c r="C69" s="21">
        <v>25102102</v>
      </c>
      <c r="D69" s="67" t="s">
        <v>1471</v>
      </c>
    </row>
    <row r="70" spans="1:4" ht="15.75" customHeight="1">
      <c r="A70" s="65" t="s">
        <v>9</v>
      </c>
      <c r="B70" s="66" t="s">
        <v>1470</v>
      </c>
      <c r="C70" s="21">
        <v>25102106</v>
      </c>
      <c r="D70" s="67" t="s">
        <v>1471</v>
      </c>
    </row>
    <row r="71" spans="1:4" ht="15.75" customHeight="1">
      <c r="A71" s="65" t="s">
        <v>1553</v>
      </c>
      <c r="B71" s="66" t="s">
        <v>1470</v>
      </c>
      <c r="C71" s="21">
        <v>25102100</v>
      </c>
      <c r="D71" s="67" t="s">
        <v>1471</v>
      </c>
    </row>
    <row r="72" spans="1:4" ht="15.75" customHeight="1">
      <c r="A72" s="65" t="s">
        <v>1554</v>
      </c>
      <c r="B72" s="66" t="s">
        <v>1470</v>
      </c>
      <c r="C72" s="21">
        <v>25102122</v>
      </c>
      <c r="D72" s="67" t="s">
        <v>1471</v>
      </c>
    </row>
    <row r="73" spans="1:4" ht="15.75" customHeight="1">
      <c r="A73" s="65" t="s">
        <v>1555</v>
      </c>
      <c r="B73" s="66" t="s">
        <v>1470</v>
      </c>
      <c r="C73" s="21">
        <v>25102007</v>
      </c>
      <c r="D73" s="67" t="s">
        <v>1471</v>
      </c>
    </row>
    <row r="74" spans="1:4" ht="15.75" customHeight="1">
      <c r="A74" s="65" t="s">
        <v>1556</v>
      </c>
      <c r="B74" s="66" t="s">
        <v>1477</v>
      </c>
      <c r="C74" s="21">
        <v>25103061</v>
      </c>
      <c r="D74" s="67" t="s">
        <v>1471</v>
      </c>
    </row>
    <row r="75" spans="1:4" ht="15.75" customHeight="1">
      <c r="A75" s="65" t="s">
        <v>1557</v>
      </c>
      <c r="B75" s="66" t="s">
        <v>1477</v>
      </c>
      <c r="C75" s="21">
        <v>25103064</v>
      </c>
      <c r="D75" s="67" t="s">
        <v>1471</v>
      </c>
    </row>
    <row r="76" spans="1:4" ht="15.75" customHeight="1">
      <c r="A76" s="65" t="s">
        <v>1558</v>
      </c>
      <c r="B76" s="66" t="s">
        <v>1477</v>
      </c>
      <c r="C76" s="21">
        <v>25103063</v>
      </c>
      <c r="D76" s="67" t="s">
        <v>1471</v>
      </c>
    </row>
    <row r="77" spans="1:4" ht="15.75" customHeight="1">
      <c r="A77" s="65" t="s">
        <v>1559</v>
      </c>
      <c r="B77" s="66" t="s">
        <v>1477</v>
      </c>
      <c r="C77" s="21">
        <v>25103001</v>
      </c>
      <c r="D77" s="67" t="s">
        <v>1471</v>
      </c>
    </row>
    <row r="78" spans="1:4" ht="15.75" customHeight="1">
      <c r="A78" s="65" t="s">
        <v>1560</v>
      </c>
      <c r="B78" s="66" t="s">
        <v>1477</v>
      </c>
      <c r="C78" s="21">
        <v>25103006</v>
      </c>
      <c r="D78" s="67" t="s">
        <v>1471</v>
      </c>
    </row>
    <row r="79" spans="1:4" ht="15.75" customHeight="1">
      <c r="A79" s="65" t="s">
        <v>1561</v>
      </c>
      <c r="B79" s="66" t="s">
        <v>1477</v>
      </c>
      <c r="C79" s="21">
        <v>25103003</v>
      </c>
      <c r="D79" s="67" t="s">
        <v>1471</v>
      </c>
    </row>
    <row r="80" spans="1:4" ht="15.75" customHeight="1">
      <c r="A80" s="65" t="s">
        <v>1562</v>
      </c>
      <c r="B80" s="66" t="s">
        <v>1477</v>
      </c>
      <c r="C80" s="21">
        <v>25103007</v>
      </c>
      <c r="D80" s="67" t="s">
        <v>1471</v>
      </c>
    </row>
    <row r="81" spans="1:4" ht="15.75" customHeight="1">
      <c r="A81" s="65" t="s">
        <v>1563</v>
      </c>
      <c r="B81" s="66" t="s">
        <v>1477</v>
      </c>
      <c r="C81" s="21">
        <v>25103062</v>
      </c>
      <c r="D81" s="67" t="s">
        <v>1471</v>
      </c>
    </row>
    <row r="82" spans="1:4" ht="15.75" customHeight="1">
      <c r="A82" s="65" t="s">
        <v>1564</v>
      </c>
      <c r="B82" s="66" t="s">
        <v>1477</v>
      </c>
      <c r="C82" s="21">
        <v>25103011</v>
      </c>
      <c r="D82" s="67" t="s">
        <v>1471</v>
      </c>
    </row>
    <row r="83" spans="1:4" ht="15.75" customHeight="1">
      <c r="A83" s="65" t="s">
        <v>1565</v>
      </c>
      <c r="B83" s="66" t="s">
        <v>1477</v>
      </c>
      <c r="C83" s="21">
        <v>25103017</v>
      </c>
      <c r="D83" s="67" t="s">
        <v>1471</v>
      </c>
    </row>
    <row r="84" spans="1:4" ht="15.75" customHeight="1">
      <c r="A84" s="65" t="s">
        <v>1566</v>
      </c>
      <c r="B84" s="66" t="s">
        <v>1477</v>
      </c>
      <c r="C84" s="21">
        <v>25103018</v>
      </c>
      <c r="D84" s="67" t="s">
        <v>1471</v>
      </c>
    </row>
    <row r="85" spans="1:4" ht="15.75" customHeight="1">
      <c r="A85" s="65" t="s">
        <v>1567</v>
      </c>
      <c r="B85" s="66" t="s">
        <v>1477</v>
      </c>
      <c r="C85" s="21">
        <v>25103025</v>
      </c>
      <c r="D85" s="67" t="s">
        <v>1471</v>
      </c>
    </row>
    <row r="86" spans="1:4" ht="15.75" customHeight="1">
      <c r="A86" s="65" t="s">
        <v>1568</v>
      </c>
      <c r="B86" s="66" t="s">
        <v>1477</v>
      </c>
      <c r="C86" s="21">
        <v>25103023</v>
      </c>
      <c r="D86" s="67" t="s">
        <v>1471</v>
      </c>
    </row>
    <row r="87" spans="1:4" ht="15.75" customHeight="1">
      <c r="A87" s="65" t="s">
        <v>1569</v>
      </c>
      <c r="B87" s="66" t="s">
        <v>1477</v>
      </c>
      <c r="C87" s="21">
        <v>25103026</v>
      </c>
      <c r="D87" s="67" t="s">
        <v>1471</v>
      </c>
    </row>
    <row r="88" spans="1:4" ht="15.75" customHeight="1">
      <c r="A88" s="65" t="s">
        <v>1570</v>
      </c>
      <c r="B88" s="66" t="s">
        <v>1477</v>
      </c>
      <c r="C88" s="21">
        <v>25103027</v>
      </c>
      <c r="D88" s="67" t="s">
        <v>1471</v>
      </c>
    </row>
    <row r="89" spans="1:4" ht="15.75" customHeight="1">
      <c r="A89" s="65" t="s">
        <v>1571</v>
      </c>
      <c r="B89" s="66" t="s">
        <v>1477</v>
      </c>
      <c r="C89" s="21">
        <v>25103043</v>
      </c>
      <c r="D89" s="67" t="s">
        <v>1471</v>
      </c>
    </row>
    <row r="90" spans="1:4" ht="15.75" customHeight="1">
      <c r="A90" s="65" t="s">
        <v>1572</v>
      </c>
      <c r="B90" s="66" t="s">
        <v>1477</v>
      </c>
      <c r="C90" s="21">
        <v>25103008</v>
      </c>
      <c r="D90" s="67" t="s">
        <v>1471</v>
      </c>
    </row>
    <row r="91" spans="1:4" ht="15.75" customHeight="1">
      <c r="A91" s="65" t="s">
        <v>1573</v>
      </c>
      <c r="B91" s="66" t="s">
        <v>1477</v>
      </c>
      <c r="C91" s="21">
        <v>25103051</v>
      </c>
      <c r="D91" s="67" t="s">
        <v>1471</v>
      </c>
    </row>
    <row r="92" spans="1:4" ht="15.75" customHeight="1">
      <c r="A92" s="65" t="s">
        <v>1574</v>
      </c>
      <c r="B92" s="66" t="s">
        <v>1477</v>
      </c>
      <c r="C92" s="21">
        <v>25103052</v>
      </c>
      <c r="D92" s="67" t="s">
        <v>1471</v>
      </c>
    </row>
    <row r="93" spans="1:4" ht="15.75" customHeight="1">
      <c r="A93" s="65" t="s">
        <v>1575</v>
      </c>
      <c r="B93" s="66" t="s">
        <v>1477</v>
      </c>
      <c r="C93" s="21">
        <v>25103028</v>
      </c>
      <c r="D93" s="67" t="s">
        <v>1471</v>
      </c>
    </row>
    <row r="94" spans="1:4" ht="15.75" customHeight="1">
      <c r="A94" s="65" t="s">
        <v>1576</v>
      </c>
      <c r="B94" s="66" t="s">
        <v>1477</v>
      </c>
      <c r="C94" s="21">
        <v>25103053</v>
      </c>
      <c r="D94" s="67" t="s">
        <v>1471</v>
      </c>
    </row>
    <row r="95" spans="1:4" ht="15.75" customHeight="1">
      <c r="A95" s="65" t="s">
        <v>1577</v>
      </c>
      <c r="B95" s="66" t="s">
        <v>1477</v>
      </c>
      <c r="C95" s="21">
        <v>25103040</v>
      </c>
      <c r="D95" s="67" t="s">
        <v>1471</v>
      </c>
    </row>
    <row r="96" spans="1:4" ht="15.75" customHeight="1">
      <c r="A96" s="65" t="s">
        <v>1578</v>
      </c>
      <c r="B96" s="66" t="s">
        <v>1477</v>
      </c>
      <c r="C96" s="21">
        <v>25103045</v>
      </c>
      <c r="D96" s="67" t="s">
        <v>1471</v>
      </c>
    </row>
    <row r="97" spans="1:4" ht="15.75" customHeight="1">
      <c r="A97" s="65" t="s">
        <v>1579</v>
      </c>
      <c r="B97" s="66" t="s">
        <v>1477</v>
      </c>
      <c r="C97" s="21">
        <v>25103055</v>
      </c>
      <c r="D97" s="67" t="s">
        <v>1471</v>
      </c>
    </row>
    <row r="98" spans="1:4" ht="15.75" customHeight="1">
      <c r="A98" s="65" t="s">
        <v>1580</v>
      </c>
      <c r="B98" s="66" t="s">
        <v>1480</v>
      </c>
      <c r="C98" s="21">
        <v>25101001</v>
      </c>
      <c r="D98" s="67" t="s">
        <v>1471</v>
      </c>
    </row>
    <row r="99" spans="1:4" ht="15.75" customHeight="1">
      <c r="A99" s="65" t="s">
        <v>1581</v>
      </c>
      <c r="B99" s="66" t="s">
        <v>1480</v>
      </c>
      <c r="C99" s="21">
        <v>25101002</v>
      </c>
      <c r="D99" s="67" t="s">
        <v>1471</v>
      </c>
    </row>
    <row r="100" spans="1:4" ht="15.75" customHeight="1">
      <c r="A100" s="65" t="s">
        <v>1582</v>
      </c>
      <c r="B100" s="66" t="s">
        <v>1480</v>
      </c>
      <c r="C100" s="21">
        <v>25101006</v>
      </c>
      <c r="D100" s="67" t="s">
        <v>1471</v>
      </c>
    </row>
    <row r="101" spans="1:4" ht="15.75" customHeight="1">
      <c r="A101" s="65" t="s">
        <v>1583</v>
      </c>
      <c r="B101" s="66" t="s">
        <v>1480</v>
      </c>
      <c r="C101" s="21">
        <v>25101005</v>
      </c>
      <c r="D101" s="67" t="s">
        <v>1471</v>
      </c>
    </row>
    <row r="102" spans="1:4" ht="15.75" customHeight="1">
      <c r="A102" s="65" t="s">
        <v>1584</v>
      </c>
      <c r="B102" s="66" t="s">
        <v>1480</v>
      </c>
      <c r="C102" s="21">
        <v>25101004</v>
      </c>
      <c r="D102" s="67" t="s">
        <v>1471</v>
      </c>
    </row>
    <row r="103" spans="1:4" ht="15.75" customHeight="1">
      <c r="A103" s="65" t="s">
        <v>1585</v>
      </c>
      <c r="B103" s="66" t="s">
        <v>1470</v>
      </c>
      <c r="C103" s="21">
        <v>25102136</v>
      </c>
      <c r="D103" s="67" t="s">
        <v>1471</v>
      </c>
    </row>
    <row r="104" spans="1:4" ht="15.75" customHeight="1">
      <c r="A104" s="65" t="s">
        <v>1586</v>
      </c>
      <c r="B104" s="66" t="s">
        <v>1470</v>
      </c>
      <c r="C104" s="21">
        <v>25102110</v>
      </c>
      <c r="D104" s="67" t="s">
        <v>1471</v>
      </c>
    </row>
    <row r="105" spans="1:4" ht="15.75" customHeight="1">
      <c r="A105" s="65" t="s">
        <v>1587</v>
      </c>
      <c r="B105" s="66" t="s">
        <v>1477</v>
      </c>
      <c r="C105" s="21">
        <v>25103002</v>
      </c>
      <c r="D105" s="67" t="s">
        <v>1471</v>
      </c>
    </row>
    <row r="106" spans="1:4" ht="15.75" customHeight="1">
      <c r="A106" s="65" t="s">
        <v>1588</v>
      </c>
      <c r="B106" s="66" t="s">
        <v>1470</v>
      </c>
      <c r="C106" s="21">
        <v>25102016</v>
      </c>
      <c r="D106" s="67" t="s">
        <v>1471</v>
      </c>
    </row>
    <row r="107" spans="1:4" ht="15.75" customHeight="1">
      <c r="A107" s="65" t="s">
        <v>1589</v>
      </c>
      <c r="B107" s="66" t="s">
        <v>1470</v>
      </c>
      <c r="C107" s="21">
        <v>25102121</v>
      </c>
      <c r="D107" s="67" t="s">
        <v>1471</v>
      </c>
    </row>
    <row r="108" spans="1:4" ht="15.75" customHeight="1">
      <c r="A108" s="65"/>
      <c r="B108" s="66"/>
      <c r="C108" s="21"/>
      <c r="D108" s="67"/>
    </row>
    <row r="109" spans="1:4" ht="15.75" customHeight="1">
      <c r="A109" s="65"/>
      <c r="B109" s="66"/>
      <c r="C109" s="21"/>
      <c r="D109" s="67"/>
    </row>
    <row r="110" spans="1:4" ht="15.75" customHeight="1">
      <c r="A110" s="65"/>
      <c r="B110" s="66"/>
      <c r="C110" s="21"/>
      <c r="D110" s="67"/>
    </row>
    <row r="111" spans="1:4" ht="15.75" customHeight="1">
      <c r="A111" s="65" t="s">
        <v>1590</v>
      </c>
      <c r="B111" s="69" t="s">
        <v>1483</v>
      </c>
      <c r="C111" s="21">
        <v>25104002</v>
      </c>
      <c r="D111" s="67" t="s">
        <v>1471</v>
      </c>
    </row>
    <row r="112" spans="1:4" ht="15.75" customHeight="1">
      <c r="A112" s="65" t="s">
        <v>1591</v>
      </c>
      <c r="B112" s="69" t="s">
        <v>1483</v>
      </c>
      <c r="C112" s="21">
        <v>25104001</v>
      </c>
      <c r="D112" s="67" t="s">
        <v>1471</v>
      </c>
    </row>
    <row r="113" spans="1:4" ht="15.75" customHeight="1">
      <c r="A113" s="65" t="s">
        <v>1592</v>
      </c>
      <c r="B113" s="69" t="s">
        <v>1483</v>
      </c>
      <c r="C113" s="21">
        <v>25104003</v>
      </c>
      <c r="D113" s="67" t="s">
        <v>1471</v>
      </c>
    </row>
    <row r="114" spans="1:4" ht="15.75" customHeight="1">
      <c r="A114" s="65" t="s">
        <v>1593</v>
      </c>
      <c r="B114" s="69" t="s">
        <v>1483</v>
      </c>
      <c r="C114" s="21">
        <v>25104005</v>
      </c>
      <c r="D114" s="67" t="s">
        <v>1471</v>
      </c>
    </row>
    <row r="115" spans="1:4" ht="15.75" customHeight="1">
      <c r="A115" s="65" t="s">
        <v>1594</v>
      </c>
      <c r="B115" s="69" t="s">
        <v>1483</v>
      </c>
      <c r="C115" s="21">
        <v>25104006</v>
      </c>
      <c r="D115" s="67" t="s">
        <v>1471</v>
      </c>
    </row>
    <row r="116" spans="1:4" ht="15.75" customHeight="1">
      <c r="A116" s="65" t="s">
        <v>1595</v>
      </c>
      <c r="B116" s="69" t="s">
        <v>1483</v>
      </c>
      <c r="C116" s="21">
        <v>25104007</v>
      </c>
      <c r="D116" s="67" t="s">
        <v>1471</v>
      </c>
    </row>
    <row r="117" spans="1:4" ht="15.75" customHeight="1">
      <c r="A117" s="65" t="s">
        <v>1596</v>
      </c>
      <c r="B117" s="69" t="s">
        <v>1483</v>
      </c>
      <c r="C117" s="21">
        <v>25104011</v>
      </c>
      <c r="D117" s="67" t="s">
        <v>1471</v>
      </c>
    </row>
    <row r="118" spans="1:4" ht="15.75" customHeight="1">
      <c r="A118" s="65" t="s">
        <v>1597</v>
      </c>
      <c r="B118" s="69" t="s">
        <v>1483</v>
      </c>
      <c r="C118" s="21">
        <v>25104010</v>
      </c>
      <c r="D118" s="67" t="s">
        <v>1471</v>
      </c>
    </row>
    <row r="119" spans="1:4" ht="15.75" customHeight="1">
      <c r="A119" s="65" t="s">
        <v>1598</v>
      </c>
      <c r="B119" s="69" t="s">
        <v>1483</v>
      </c>
      <c r="C119" s="21">
        <v>25104004</v>
      </c>
      <c r="D119" s="67" t="s">
        <v>1471</v>
      </c>
    </row>
    <row r="120" spans="1:4" ht="15.75" customHeight="1">
      <c r="A120" s="65"/>
      <c r="B120" s="69"/>
      <c r="C120" s="21"/>
      <c r="D120" s="67"/>
    </row>
    <row r="121" spans="1:4" ht="15.75" customHeight="1">
      <c r="A121" s="65"/>
      <c r="B121" s="69"/>
      <c r="C121" s="21"/>
      <c r="D121" s="67"/>
    </row>
    <row r="122" spans="1:4" ht="15.75" customHeight="1">
      <c r="A122" s="65"/>
      <c r="B122" s="69"/>
      <c r="C122" s="21"/>
      <c r="D122" s="67"/>
    </row>
    <row r="123" spans="1:4" ht="15.75" customHeight="1">
      <c r="A123" s="65" t="s">
        <v>1599</v>
      </c>
      <c r="B123" s="70" t="s">
        <v>1486</v>
      </c>
      <c r="C123" s="21">
        <v>24107004</v>
      </c>
      <c r="D123" s="67" t="s">
        <v>1600</v>
      </c>
    </row>
    <row r="124" spans="1:4" ht="15.75" customHeight="1">
      <c r="A124" s="65" t="s">
        <v>1601</v>
      </c>
      <c r="B124" s="70" t="s">
        <v>1486</v>
      </c>
      <c r="C124" s="21">
        <v>24107005</v>
      </c>
      <c r="D124" s="67" t="s">
        <v>1600</v>
      </c>
    </row>
    <row r="125" spans="1:4" ht="15.75" customHeight="1">
      <c r="A125" s="65" t="s">
        <v>1602</v>
      </c>
      <c r="B125" s="70" t="s">
        <v>1486</v>
      </c>
      <c r="C125" s="21">
        <v>24107006</v>
      </c>
      <c r="D125" s="67" t="s">
        <v>1600</v>
      </c>
    </row>
    <row r="126" spans="1:4" ht="15.75" customHeight="1">
      <c r="A126" s="65" t="s">
        <v>1603</v>
      </c>
      <c r="B126" s="70" t="s">
        <v>1486</v>
      </c>
      <c r="C126" s="21">
        <v>24107007</v>
      </c>
      <c r="D126" s="67" t="s">
        <v>1600</v>
      </c>
    </row>
    <row r="127" spans="1:4" ht="15.75" customHeight="1">
      <c r="A127" s="65" t="s">
        <v>1604</v>
      </c>
      <c r="B127" s="70" t="s">
        <v>1486</v>
      </c>
      <c r="C127" s="21">
        <v>24107008</v>
      </c>
      <c r="D127" s="67" t="s">
        <v>1600</v>
      </c>
    </row>
    <row r="128" spans="1:4" ht="15.75" customHeight="1">
      <c r="A128" s="65" t="s">
        <v>1605</v>
      </c>
      <c r="B128" s="70" t="s">
        <v>1486</v>
      </c>
      <c r="C128" s="21">
        <v>24107025</v>
      </c>
      <c r="D128" s="67" t="s">
        <v>1600</v>
      </c>
    </row>
    <row r="129" spans="1:4" ht="15.75" customHeight="1">
      <c r="A129" s="65" t="s">
        <v>1606</v>
      </c>
      <c r="B129" s="70" t="s">
        <v>1486</v>
      </c>
      <c r="C129" s="21">
        <v>24107026</v>
      </c>
      <c r="D129" s="67" t="s">
        <v>1600</v>
      </c>
    </row>
    <row r="130" spans="1:4" ht="15.75" customHeight="1">
      <c r="A130" s="65" t="s">
        <v>1607</v>
      </c>
      <c r="B130" s="70" t="s">
        <v>1486</v>
      </c>
      <c r="C130" s="21">
        <v>24107027</v>
      </c>
      <c r="D130" s="67" t="s">
        <v>1600</v>
      </c>
    </row>
    <row r="131" spans="1:4" ht="15.75" customHeight="1">
      <c r="A131" s="65" t="s">
        <v>1608</v>
      </c>
      <c r="B131" s="70" t="s">
        <v>1486</v>
      </c>
      <c r="C131" s="21">
        <v>24107028</v>
      </c>
      <c r="D131" s="67" t="s">
        <v>1600</v>
      </c>
    </row>
    <row r="132" spans="1:4" ht="15.75" customHeight="1">
      <c r="A132" s="65" t="s">
        <v>1609</v>
      </c>
      <c r="B132" s="70" t="s">
        <v>1486</v>
      </c>
      <c r="C132" s="21">
        <v>24107029</v>
      </c>
      <c r="D132" s="67" t="s">
        <v>1600</v>
      </c>
    </row>
    <row r="133" spans="1:4" ht="15.75" customHeight="1">
      <c r="A133" s="65" t="s">
        <v>1610</v>
      </c>
      <c r="B133" s="70" t="s">
        <v>1486</v>
      </c>
      <c r="C133" s="21">
        <v>24107030</v>
      </c>
      <c r="D133" s="67" t="s">
        <v>1600</v>
      </c>
    </row>
    <row r="134" spans="1:4" ht="15.75" customHeight="1">
      <c r="A134" s="65" t="s">
        <v>1611</v>
      </c>
      <c r="B134" s="70" t="s">
        <v>1486</v>
      </c>
      <c r="C134" s="21">
        <v>24107031</v>
      </c>
      <c r="D134" s="67" t="s">
        <v>1600</v>
      </c>
    </row>
    <row r="135" spans="1:4" ht="15.75" customHeight="1">
      <c r="A135" s="65" t="s">
        <v>1612</v>
      </c>
      <c r="B135" s="70" t="s">
        <v>1486</v>
      </c>
      <c r="C135" s="21">
        <v>24107032</v>
      </c>
      <c r="D135" s="67" t="s">
        <v>1600</v>
      </c>
    </row>
    <row r="136" spans="1:4" ht="15.75" customHeight="1">
      <c r="A136" s="65" t="s">
        <v>1613</v>
      </c>
      <c r="B136" s="70" t="s">
        <v>1486</v>
      </c>
      <c r="C136" s="21">
        <v>24107033</v>
      </c>
      <c r="D136" s="67" t="s">
        <v>1600</v>
      </c>
    </row>
    <row r="137" spans="1:4" ht="15.75" customHeight="1">
      <c r="A137" s="65" t="s">
        <v>1614</v>
      </c>
      <c r="B137" s="70" t="s">
        <v>1486</v>
      </c>
      <c r="C137" s="21">
        <v>24107034</v>
      </c>
      <c r="D137" s="67" t="s">
        <v>1600</v>
      </c>
    </row>
    <row r="138" spans="1:4" ht="15.75" customHeight="1">
      <c r="A138" s="65" t="s">
        <v>1615</v>
      </c>
      <c r="B138" s="70" t="s">
        <v>1486</v>
      </c>
      <c r="C138" s="21">
        <v>24107035</v>
      </c>
      <c r="D138" s="67" t="s">
        <v>1600</v>
      </c>
    </row>
    <row r="139" spans="1:4" ht="15.75" customHeight="1">
      <c r="A139" s="65" t="s">
        <v>1616</v>
      </c>
      <c r="B139" s="70" t="s">
        <v>1486</v>
      </c>
      <c r="C139" s="21">
        <v>24107036</v>
      </c>
      <c r="D139" s="67" t="s">
        <v>1600</v>
      </c>
    </row>
    <row r="140" spans="1:4" ht="15.75" customHeight="1">
      <c r="A140" s="65" t="s">
        <v>1617</v>
      </c>
      <c r="B140" s="70" t="s">
        <v>1486</v>
      </c>
      <c r="C140" s="21">
        <v>24107037</v>
      </c>
      <c r="D140" s="67" t="s">
        <v>1600</v>
      </c>
    </row>
    <row r="141" spans="1:4" ht="15.75" customHeight="1">
      <c r="A141" s="65" t="s">
        <v>1618</v>
      </c>
      <c r="B141" s="70" t="s">
        <v>1486</v>
      </c>
      <c r="C141" s="21">
        <v>24107038</v>
      </c>
      <c r="D141" s="67" t="s">
        <v>1600</v>
      </c>
    </row>
    <row r="142" spans="1:4" ht="15.75" customHeight="1">
      <c r="A142" s="65" t="s">
        <v>1619</v>
      </c>
      <c r="B142" s="70" t="s">
        <v>1486</v>
      </c>
      <c r="C142" s="21">
        <v>24107039</v>
      </c>
      <c r="D142" s="67" t="s">
        <v>1600</v>
      </c>
    </row>
    <row r="143" spans="1:4" ht="15.75" customHeight="1">
      <c r="A143" s="65" t="s">
        <v>1620</v>
      </c>
      <c r="B143" s="70" t="s">
        <v>1486</v>
      </c>
      <c r="C143" s="21">
        <v>24107040</v>
      </c>
      <c r="D143" s="67" t="s">
        <v>1600</v>
      </c>
    </row>
    <row r="144" spans="1:4" ht="15.75" customHeight="1">
      <c r="A144" s="65" t="s">
        <v>1621</v>
      </c>
      <c r="B144" s="70" t="s">
        <v>1486</v>
      </c>
      <c r="C144" s="21">
        <v>24107019</v>
      </c>
      <c r="D144" s="67" t="s">
        <v>1600</v>
      </c>
    </row>
    <row r="145" spans="1:4" ht="15.75" customHeight="1">
      <c r="A145" s="65" t="s">
        <v>1622</v>
      </c>
      <c r="B145" s="70" t="s">
        <v>1486</v>
      </c>
      <c r="C145" s="21">
        <v>24107014</v>
      </c>
      <c r="D145" s="67" t="s">
        <v>1600</v>
      </c>
    </row>
    <row r="146" spans="1:4" ht="15.75" customHeight="1">
      <c r="A146" s="65" t="s">
        <v>1623</v>
      </c>
      <c r="B146" s="70" t="s">
        <v>1486</v>
      </c>
      <c r="C146" s="21">
        <v>24107041</v>
      </c>
      <c r="D146" s="67" t="s">
        <v>1600</v>
      </c>
    </row>
    <row r="147" spans="1:4" ht="15.75" customHeight="1">
      <c r="A147" s="65" t="s">
        <v>1624</v>
      </c>
      <c r="B147" s="70" t="s">
        <v>1486</v>
      </c>
      <c r="C147" s="21">
        <v>24107018</v>
      </c>
      <c r="D147" s="67" t="s">
        <v>1600</v>
      </c>
    </row>
    <row r="148" spans="1:4" ht="15.75" customHeight="1">
      <c r="A148" s="65" t="s">
        <v>1625</v>
      </c>
      <c r="B148" s="70" t="s">
        <v>1486</v>
      </c>
      <c r="C148" s="21">
        <v>24107042</v>
      </c>
      <c r="D148" s="67" t="s">
        <v>1600</v>
      </c>
    </row>
    <row r="149" spans="1:4" ht="15.75" customHeight="1">
      <c r="A149" s="65" t="s">
        <v>1626</v>
      </c>
      <c r="B149" s="70" t="s">
        <v>1486</v>
      </c>
      <c r="C149" s="21"/>
      <c r="D149" s="67" t="s">
        <v>1600</v>
      </c>
    </row>
    <row r="150" spans="1:4" ht="15.75" customHeight="1">
      <c r="A150" s="65" t="s">
        <v>1627</v>
      </c>
      <c r="B150" s="70"/>
      <c r="C150" s="21"/>
      <c r="D150" s="67"/>
    </row>
    <row r="151" spans="1:4" ht="15.75" customHeight="1">
      <c r="A151" s="65" t="s">
        <v>1628</v>
      </c>
      <c r="B151" s="70"/>
      <c r="C151" s="21"/>
      <c r="D151" s="67"/>
    </row>
    <row r="152" spans="1:4" ht="15.75" customHeight="1">
      <c r="A152" s="71"/>
      <c r="B152" s="72"/>
      <c r="C152" s="73"/>
      <c r="D152" s="74"/>
    </row>
    <row r="153" spans="1:4" ht="15.75" customHeight="1">
      <c r="A153" s="65"/>
      <c r="B153" s="70"/>
      <c r="C153" s="21"/>
      <c r="D153" s="67"/>
    </row>
    <row r="154" spans="1:4" ht="15.75" customHeight="1">
      <c r="A154" s="65" t="s">
        <v>1629</v>
      </c>
      <c r="B154" s="70" t="s">
        <v>1489</v>
      </c>
      <c r="C154" s="21"/>
      <c r="D154" s="67" t="s">
        <v>1630</v>
      </c>
    </row>
    <row r="155" spans="1:4" ht="15.75" customHeight="1">
      <c r="A155" s="65" t="s">
        <v>1631</v>
      </c>
      <c r="B155" s="70" t="s">
        <v>1489</v>
      </c>
      <c r="C155" s="21"/>
      <c r="D155" s="67" t="s">
        <v>1630</v>
      </c>
    </row>
    <row r="156" spans="1:4" ht="15.75" customHeight="1">
      <c r="A156" s="65" t="s">
        <v>1632</v>
      </c>
      <c r="B156" s="70" t="s">
        <v>1489</v>
      </c>
      <c r="C156" s="21"/>
      <c r="D156" s="67" t="s">
        <v>1630</v>
      </c>
    </row>
    <row r="157" spans="1:4" ht="15.75" customHeight="1">
      <c r="A157" s="71" t="s">
        <v>1633</v>
      </c>
      <c r="B157" s="72" t="s">
        <v>1489</v>
      </c>
      <c r="C157" s="73"/>
      <c r="D157" s="67" t="s">
        <v>1630</v>
      </c>
    </row>
    <row r="158" spans="1:4" ht="15.75" customHeight="1">
      <c r="A158" s="65" t="s">
        <v>1634</v>
      </c>
      <c r="B158" s="70" t="s">
        <v>1489</v>
      </c>
      <c r="C158" s="21"/>
      <c r="D158" s="67" t="s">
        <v>1630</v>
      </c>
    </row>
    <row r="159" spans="1:4" ht="15.75" customHeight="1">
      <c r="A159" s="65" t="s">
        <v>1635</v>
      </c>
      <c r="B159" s="70" t="s">
        <v>1489</v>
      </c>
      <c r="C159" s="21"/>
      <c r="D159" s="67" t="s">
        <v>1630</v>
      </c>
    </row>
    <row r="160" spans="1:4" ht="15.75" customHeight="1">
      <c r="A160" s="65" t="s">
        <v>1636</v>
      </c>
      <c r="B160" s="70" t="s">
        <v>1489</v>
      </c>
      <c r="C160" s="21"/>
      <c r="D160" s="67" t="s">
        <v>1630</v>
      </c>
    </row>
    <row r="161" spans="1:4" ht="15.75" customHeight="1">
      <c r="A161" s="65" t="s">
        <v>1637</v>
      </c>
      <c r="B161" s="70" t="s">
        <v>1489</v>
      </c>
      <c r="C161" s="21"/>
      <c r="D161" s="67" t="s">
        <v>1630</v>
      </c>
    </row>
    <row r="162" spans="1:4" ht="15.75" customHeight="1">
      <c r="A162" s="65" t="s">
        <v>1638</v>
      </c>
      <c r="B162" s="70" t="s">
        <v>1489</v>
      </c>
      <c r="C162" s="21"/>
      <c r="D162" s="67" t="s">
        <v>1630</v>
      </c>
    </row>
    <row r="163" spans="1:4" ht="15.75" customHeight="1">
      <c r="A163" s="65"/>
      <c r="B163" s="70"/>
      <c r="C163" s="21"/>
      <c r="D163" s="67"/>
    </row>
    <row r="164" spans="1:4" ht="15.75" customHeight="1">
      <c r="A164" s="65"/>
      <c r="B164" s="70"/>
      <c r="C164" s="21"/>
      <c r="D164" s="67"/>
    </row>
    <row r="165" spans="1:4" ht="15.75" customHeight="1">
      <c r="A165" s="65" t="s">
        <v>1639</v>
      </c>
      <c r="B165" s="70" t="s">
        <v>1491</v>
      </c>
      <c r="C165" s="21">
        <v>29150404</v>
      </c>
      <c r="D165" s="67"/>
    </row>
    <row r="166" spans="1:4" ht="15.75" customHeight="1">
      <c r="A166" s="71" t="s">
        <v>1640</v>
      </c>
      <c r="B166" s="97" t="s">
        <v>1493</v>
      </c>
      <c r="C166" s="73">
        <v>29150404</v>
      </c>
      <c r="D166" s="74" t="s">
        <v>1641</v>
      </c>
    </row>
    <row r="167" spans="1:4" ht="15.75" customHeight="1">
      <c r="A167" s="65"/>
      <c r="B167" s="70"/>
      <c r="C167" s="21"/>
      <c r="D167" s="67"/>
    </row>
    <row r="168" spans="1:4" ht="15.75" customHeight="1">
      <c r="A168" s="65"/>
      <c r="B168" s="70"/>
      <c r="C168" s="21"/>
      <c r="D168" s="67"/>
    </row>
    <row r="169" spans="1:4" ht="15.75" customHeight="1">
      <c r="A169" s="65"/>
      <c r="B169" s="70"/>
      <c r="C169" s="21"/>
      <c r="D169" s="67"/>
    </row>
    <row r="170" spans="1:4" ht="15.75" customHeight="1">
      <c r="A170" s="65"/>
      <c r="B170" s="70"/>
      <c r="C170" s="21"/>
      <c r="D170" s="67"/>
    </row>
    <row r="171" spans="1:4" ht="15.75" customHeight="1">
      <c r="A171" s="65"/>
      <c r="B171" s="70"/>
      <c r="C171" s="21"/>
      <c r="D171" s="67"/>
    </row>
    <row r="172" spans="1:4" ht="15.75" customHeight="1">
      <c r="A172" s="65"/>
      <c r="B172" s="70"/>
      <c r="C172" s="21"/>
      <c r="D172" s="67"/>
    </row>
    <row r="173" spans="1:4" ht="15.75" customHeight="1">
      <c r="A173" s="65"/>
      <c r="B173" s="70"/>
      <c r="C173" s="21"/>
      <c r="D173" s="67"/>
    </row>
    <row r="174" spans="1:4" ht="15.75" customHeight="1">
      <c r="A174" s="65"/>
      <c r="B174" s="70"/>
      <c r="C174" s="21"/>
      <c r="D174" s="67"/>
    </row>
    <row r="175" spans="1:4" ht="15.75" customHeight="1">
      <c r="A175" s="65"/>
      <c r="B175" s="70"/>
      <c r="C175" s="21"/>
      <c r="D175" s="67"/>
    </row>
    <row r="176" spans="1:4" ht="15.75" customHeight="1">
      <c r="A176" s="65"/>
      <c r="B176" s="70"/>
      <c r="C176" s="21"/>
      <c r="D176" s="67"/>
    </row>
    <row r="177" spans="1:4" ht="15.75" customHeight="1">
      <c r="A177" s="65"/>
      <c r="B177" s="70"/>
      <c r="C177" s="21"/>
      <c r="D177" s="67"/>
    </row>
    <row r="178" spans="1:4" ht="15.75" customHeight="1">
      <c r="A178" s="65"/>
      <c r="B178" s="70"/>
      <c r="C178" s="21"/>
      <c r="D178" s="67"/>
    </row>
    <row r="179" spans="1:4" ht="15.75" customHeight="1">
      <c r="A179" s="65"/>
      <c r="B179" s="70"/>
      <c r="C179" s="21"/>
      <c r="D179" s="67"/>
    </row>
    <row r="180" spans="1:4" ht="15.75" customHeight="1">
      <c r="A180" s="65"/>
      <c r="B180" s="70"/>
      <c r="C180" s="21"/>
      <c r="D180" s="67"/>
    </row>
    <row r="181" spans="1:4" ht="15.75" customHeight="1">
      <c r="A181" s="65"/>
      <c r="B181" s="70"/>
      <c r="C181" s="21"/>
      <c r="D181" s="67"/>
    </row>
    <row r="182" spans="1:4" ht="15.75" customHeight="1">
      <c r="A182" s="65"/>
      <c r="B182" s="70"/>
      <c r="C182" s="21"/>
      <c r="D182" s="67"/>
    </row>
    <row r="183" spans="1:4" ht="15.75" customHeight="1">
      <c r="A183" s="65"/>
      <c r="B183" s="70"/>
      <c r="C183" s="21"/>
      <c r="D183" s="67"/>
    </row>
    <row r="184" spans="1:4" ht="15.75" customHeight="1">
      <c r="A184" s="65"/>
      <c r="B184" s="70"/>
      <c r="C184" s="21"/>
      <c r="D184" s="67"/>
    </row>
    <row r="185" spans="1:4" ht="15.75" customHeight="1">
      <c r="A185" s="65"/>
      <c r="B185" s="70"/>
      <c r="C185" s="21"/>
      <c r="D185" s="67"/>
    </row>
    <row r="186" spans="1:4" ht="15.75" customHeight="1">
      <c r="A186" s="65"/>
      <c r="B186" s="70"/>
      <c r="C186" s="21"/>
      <c r="D186" s="67"/>
    </row>
    <row r="187" spans="1:4" ht="15.75" customHeight="1">
      <c r="A187" s="65"/>
      <c r="B187" s="70"/>
      <c r="C187" s="21"/>
      <c r="D187" s="67"/>
    </row>
    <row r="188" spans="1:4" ht="15.75" customHeight="1">
      <c r="A188" s="65"/>
      <c r="B188" s="70"/>
      <c r="C188" s="21"/>
      <c r="D188" s="67"/>
    </row>
    <row r="189" spans="1:4" ht="15.75" customHeight="1">
      <c r="A189" s="65"/>
      <c r="B189" s="70"/>
      <c r="C189" s="21"/>
      <c r="D189" s="67"/>
    </row>
    <row r="190" spans="1:4" ht="15.75" customHeight="1">
      <c r="A190" s="65"/>
      <c r="B190" s="70"/>
      <c r="C190" s="21"/>
      <c r="D190" s="67"/>
    </row>
    <row r="191" spans="1:4" ht="15.75" customHeight="1">
      <c r="A191" s="65"/>
      <c r="B191" s="70"/>
      <c r="C191" s="21"/>
      <c r="D191" s="67"/>
    </row>
    <row r="192" spans="1:4" ht="15.75" customHeight="1">
      <c r="A192" s="65"/>
      <c r="B192" s="70"/>
      <c r="C192" s="21"/>
      <c r="D192" s="67"/>
    </row>
    <row r="193" spans="1:4" ht="15.75" customHeight="1">
      <c r="A193" s="65"/>
      <c r="B193" s="70"/>
      <c r="C193" s="21"/>
      <c r="D193" s="67"/>
    </row>
    <row r="194" spans="1:4" ht="15.75" customHeight="1">
      <c r="A194" s="65"/>
      <c r="B194" s="70"/>
      <c r="C194" s="21"/>
      <c r="D194" s="67"/>
    </row>
    <row r="195" spans="1:4" ht="15.75" customHeight="1">
      <c r="A195" s="65"/>
      <c r="B195" s="70"/>
      <c r="C195" s="21"/>
      <c r="D195" s="67"/>
    </row>
    <row r="196" spans="1:4" ht="15.75" customHeight="1">
      <c r="A196" s="65"/>
      <c r="B196" s="70"/>
      <c r="C196" s="21"/>
      <c r="D196" s="67"/>
    </row>
    <row r="197" spans="1:4" ht="15.75" customHeight="1">
      <c r="A197" s="65"/>
      <c r="B197" s="70"/>
      <c r="C197" s="21"/>
      <c r="D197" s="67"/>
    </row>
    <row r="198" spans="1:4" ht="15.75" customHeight="1">
      <c r="A198" s="65"/>
      <c r="B198" s="70"/>
      <c r="C198" s="21"/>
      <c r="D198" s="67"/>
    </row>
    <row r="199" spans="1:4" ht="15.75" customHeight="1">
      <c r="A199" s="65"/>
      <c r="B199" s="70"/>
      <c r="C199" s="21"/>
      <c r="D199" s="67"/>
    </row>
    <row r="200" spans="1:4" ht="15.75" customHeight="1">
      <c r="A200" s="71"/>
      <c r="B200" s="72"/>
      <c r="C200" s="73"/>
      <c r="D200" s="74"/>
    </row>
    <row r="201" spans="1:4" ht="15.75" customHeight="1">
      <c r="D201" s="30"/>
    </row>
    <row r="202" spans="1:4" ht="15.75" customHeight="1">
      <c r="D202" s="30"/>
    </row>
    <row r="203" spans="1:4" ht="15.75" customHeight="1">
      <c r="D203" s="30"/>
    </row>
    <row r="204" spans="1:4" ht="15.75" customHeight="1">
      <c r="D204" s="30"/>
    </row>
    <row r="205" spans="1:4" ht="15.75" customHeight="1">
      <c r="D205" s="30"/>
    </row>
    <row r="206" spans="1:4" ht="15.75" customHeight="1">
      <c r="D206" s="30"/>
    </row>
    <row r="207" spans="1:4" ht="15.75" customHeight="1">
      <c r="D207" s="30"/>
    </row>
    <row r="208" spans="1:4" ht="15.75" customHeight="1">
      <c r="D208" s="30"/>
    </row>
    <row r="209" spans="4:4" ht="15.75" customHeight="1">
      <c r="D209" s="30"/>
    </row>
    <row r="210" spans="4:4" ht="15.75" customHeight="1">
      <c r="D210" s="30"/>
    </row>
    <row r="211" spans="4:4" ht="15.75" customHeight="1">
      <c r="D211" s="30"/>
    </row>
    <row r="212" spans="4:4" ht="15.75" customHeight="1">
      <c r="D212" s="30"/>
    </row>
    <row r="213" spans="4:4" ht="15.75" customHeight="1">
      <c r="D213" s="30"/>
    </row>
    <row r="214" spans="4:4" ht="15.75" customHeight="1">
      <c r="D214" s="30"/>
    </row>
    <row r="215" spans="4:4" ht="15.75" customHeight="1">
      <c r="D215" s="30"/>
    </row>
    <row r="216" spans="4:4" ht="15.75" customHeight="1">
      <c r="D216" s="30"/>
    </row>
    <row r="217" spans="4:4" ht="15.75" customHeight="1">
      <c r="D217" s="30"/>
    </row>
    <row r="218" spans="4:4" ht="15.75" customHeight="1">
      <c r="D218" s="30"/>
    </row>
    <row r="219" spans="4:4" ht="15.75" customHeight="1">
      <c r="D219" s="30"/>
    </row>
    <row r="220" spans="4:4" ht="15.75" customHeight="1">
      <c r="D220" s="30"/>
    </row>
    <row r="221" spans="4:4" ht="15.75" customHeight="1">
      <c r="D221" s="30"/>
    </row>
    <row r="222" spans="4:4" ht="15.75" customHeight="1">
      <c r="D222" s="30"/>
    </row>
    <row r="223" spans="4:4" ht="15.75" customHeight="1">
      <c r="D223" s="30"/>
    </row>
    <row r="224" spans="4:4" ht="15.75" customHeight="1">
      <c r="D224" s="30"/>
    </row>
    <row r="225" spans="4:4" ht="15.75" customHeight="1">
      <c r="D225" s="30"/>
    </row>
    <row r="226" spans="4:4" ht="15.75" customHeight="1">
      <c r="D226" s="30"/>
    </row>
    <row r="227" spans="4:4" ht="15.75" customHeight="1">
      <c r="D227" s="30"/>
    </row>
    <row r="228" spans="4:4" ht="15.75" customHeight="1">
      <c r="D228" s="30"/>
    </row>
    <row r="229" spans="4:4" ht="15.75" customHeight="1">
      <c r="D229" s="30"/>
    </row>
    <row r="230" spans="4:4" ht="15.75" customHeight="1">
      <c r="D230" s="30"/>
    </row>
    <row r="231" spans="4:4" ht="15.75" customHeight="1">
      <c r="D231" s="30"/>
    </row>
    <row r="232" spans="4:4" ht="15.75" customHeight="1">
      <c r="D232" s="30"/>
    </row>
    <row r="233" spans="4:4" ht="15.75" customHeight="1">
      <c r="D233" s="30"/>
    </row>
    <row r="234" spans="4:4" ht="15.75" customHeight="1">
      <c r="D234" s="30"/>
    </row>
    <row r="235" spans="4:4" ht="15.75" customHeight="1">
      <c r="D235" s="30"/>
    </row>
    <row r="236" spans="4:4" ht="15.75" customHeight="1">
      <c r="D236" s="30"/>
    </row>
    <row r="237" spans="4:4" ht="15.75" customHeight="1">
      <c r="D237" s="30"/>
    </row>
    <row r="238" spans="4:4" ht="15.75" customHeight="1">
      <c r="D238" s="30"/>
    </row>
    <row r="239" spans="4:4" ht="15.75" customHeight="1">
      <c r="D239" s="30"/>
    </row>
    <row r="240" spans="4:4" ht="15.75" customHeight="1">
      <c r="D240" s="30"/>
    </row>
    <row r="241" spans="4:4" ht="15.75" customHeight="1">
      <c r="D241" s="30"/>
    </row>
    <row r="242" spans="4:4" ht="15.75" customHeight="1">
      <c r="D242" s="30"/>
    </row>
    <row r="243" spans="4:4" ht="15.75" customHeight="1">
      <c r="D243" s="30"/>
    </row>
    <row r="244" spans="4:4" ht="15.75" customHeight="1">
      <c r="D244" s="30"/>
    </row>
    <row r="245" spans="4:4" ht="15.75" customHeight="1">
      <c r="D245" s="30"/>
    </row>
    <row r="246" spans="4:4" ht="15.75" customHeight="1">
      <c r="D246" s="30"/>
    </row>
    <row r="247" spans="4:4" ht="15.75" customHeight="1">
      <c r="D247" s="30"/>
    </row>
    <row r="248" spans="4:4" ht="15.75" customHeight="1">
      <c r="D248" s="30"/>
    </row>
    <row r="249" spans="4:4" ht="15.75" customHeight="1">
      <c r="D249" s="30"/>
    </row>
    <row r="250" spans="4:4" ht="15.75" customHeight="1">
      <c r="D250" s="30"/>
    </row>
    <row r="251" spans="4:4" ht="15.75" customHeight="1">
      <c r="D251" s="30"/>
    </row>
    <row r="252" spans="4:4" ht="15.75" customHeight="1">
      <c r="D252" s="30"/>
    </row>
    <row r="253" spans="4:4" ht="15.75" customHeight="1">
      <c r="D253" s="30"/>
    </row>
    <row r="254" spans="4:4" ht="15.75" customHeight="1">
      <c r="D254" s="30"/>
    </row>
    <row r="255" spans="4:4" ht="15.75" customHeight="1">
      <c r="D255" s="30"/>
    </row>
    <row r="256" spans="4:4" ht="15.75" customHeight="1">
      <c r="D256" s="30"/>
    </row>
    <row r="257" spans="4:4" ht="15.75" customHeight="1">
      <c r="D257" s="30"/>
    </row>
    <row r="258" spans="4:4" ht="15.75" customHeight="1">
      <c r="D258" s="30"/>
    </row>
    <row r="259" spans="4:4" ht="15.75" customHeight="1">
      <c r="D259" s="30"/>
    </row>
    <row r="260" spans="4:4" ht="15.75" customHeight="1">
      <c r="D260" s="30"/>
    </row>
    <row r="261" spans="4:4" ht="15.75" customHeight="1">
      <c r="D261" s="30"/>
    </row>
    <row r="262" spans="4:4" ht="15.75" customHeight="1">
      <c r="D262" s="30"/>
    </row>
    <row r="263" spans="4:4" ht="15.75" customHeight="1">
      <c r="D263" s="30"/>
    </row>
    <row r="264" spans="4:4" ht="15.75" customHeight="1">
      <c r="D264" s="30"/>
    </row>
    <row r="265" spans="4:4" ht="15.75" customHeight="1">
      <c r="D265" s="30"/>
    </row>
    <row r="266" spans="4:4" ht="15.75" customHeight="1">
      <c r="D266" s="30"/>
    </row>
    <row r="267" spans="4:4" ht="15.75" customHeight="1">
      <c r="D267" s="30"/>
    </row>
    <row r="268" spans="4:4" ht="15.75" customHeight="1">
      <c r="D268" s="30"/>
    </row>
    <row r="269" spans="4:4" ht="15.75" customHeight="1">
      <c r="D269" s="30"/>
    </row>
    <row r="270" spans="4:4" ht="15.75" customHeight="1">
      <c r="D270" s="30"/>
    </row>
    <row r="271" spans="4:4" ht="15.75" customHeight="1">
      <c r="D271" s="30"/>
    </row>
    <row r="272" spans="4:4" ht="15.75" customHeight="1">
      <c r="D272" s="30"/>
    </row>
    <row r="273" spans="4:4" ht="15.75" customHeight="1">
      <c r="D273" s="30"/>
    </row>
    <row r="274" spans="4:4" ht="15.75" customHeight="1">
      <c r="D274" s="30"/>
    </row>
    <row r="275" spans="4:4" ht="15.75" customHeight="1">
      <c r="D275" s="30"/>
    </row>
    <row r="276" spans="4:4" ht="15.75" customHeight="1">
      <c r="D276" s="30"/>
    </row>
    <row r="277" spans="4:4" ht="15.75" customHeight="1">
      <c r="D277" s="30"/>
    </row>
    <row r="278" spans="4:4" ht="15.75" customHeight="1">
      <c r="D278" s="30"/>
    </row>
    <row r="279" spans="4:4" ht="15.75" customHeight="1">
      <c r="D279" s="30"/>
    </row>
    <row r="280" spans="4:4" ht="15.75" customHeight="1">
      <c r="D280" s="30"/>
    </row>
    <row r="281" spans="4:4" ht="15.75" customHeight="1">
      <c r="D281" s="30"/>
    </row>
    <row r="282" spans="4:4" ht="15.75" customHeight="1">
      <c r="D282" s="30"/>
    </row>
    <row r="283" spans="4:4" ht="15.75" customHeight="1">
      <c r="D283" s="30"/>
    </row>
    <row r="284" spans="4:4" ht="15.75" customHeight="1">
      <c r="D284" s="30"/>
    </row>
    <row r="285" spans="4:4" ht="15.75" customHeight="1">
      <c r="D285" s="30"/>
    </row>
    <row r="286" spans="4:4" ht="15.75" customHeight="1">
      <c r="D286" s="30"/>
    </row>
    <row r="287" spans="4:4" ht="15.75" customHeight="1">
      <c r="D287" s="30"/>
    </row>
    <row r="288" spans="4:4" ht="15.75" customHeight="1">
      <c r="D288" s="30"/>
    </row>
    <row r="289" spans="4:4" ht="15.75" customHeight="1">
      <c r="D289" s="30"/>
    </row>
    <row r="290" spans="4:4" ht="15.75" customHeight="1">
      <c r="D290" s="30"/>
    </row>
    <row r="291" spans="4:4" ht="15.75" customHeight="1">
      <c r="D291" s="30"/>
    </row>
    <row r="292" spans="4:4" ht="15.75" customHeight="1">
      <c r="D292" s="30"/>
    </row>
    <row r="293" spans="4:4" ht="15.75" customHeight="1">
      <c r="D293" s="30"/>
    </row>
    <row r="294" spans="4:4" ht="15.75" customHeight="1">
      <c r="D294" s="30"/>
    </row>
    <row r="295" spans="4:4" ht="15.75" customHeight="1">
      <c r="D295" s="30"/>
    </row>
    <row r="296" spans="4:4" ht="15.75" customHeight="1">
      <c r="D296" s="30"/>
    </row>
    <row r="297" spans="4:4" ht="15.75" customHeight="1">
      <c r="D297" s="30"/>
    </row>
    <row r="298" spans="4:4" ht="15.75" customHeight="1">
      <c r="D298" s="30"/>
    </row>
    <row r="299" spans="4:4" ht="15.75" customHeight="1">
      <c r="D299" s="30"/>
    </row>
    <row r="300" spans="4:4" ht="15.75" customHeight="1">
      <c r="D300" s="30"/>
    </row>
    <row r="301" spans="4:4" ht="15.75" customHeight="1">
      <c r="D301" s="30"/>
    </row>
    <row r="302" spans="4:4" ht="15.75" customHeight="1">
      <c r="D302" s="30"/>
    </row>
    <row r="303" spans="4:4" ht="15.75" customHeight="1">
      <c r="D303" s="30"/>
    </row>
    <row r="304" spans="4:4" ht="15.75" customHeight="1">
      <c r="D304" s="30"/>
    </row>
    <row r="305" spans="4:4" ht="15.75" customHeight="1">
      <c r="D305" s="30"/>
    </row>
    <row r="306" spans="4:4" ht="15.75" customHeight="1">
      <c r="D306" s="30"/>
    </row>
    <row r="307" spans="4:4" ht="15.75" customHeight="1">
      <c r="D307" s="30"/>
    </row>
    <row r="308" spans="4:4" ht="15.75" customHeight="1">
      <c r="D308" s="30"/>
    </row>
    <row r="309" spans="4:4" ht="15.75" customHeight="1">
      <c r="D309" s="30"/>
    </row>
    <row r="310" spans="4:4" ht="15.75" customHeight="1">
      <c r="D310" s="30"/>
    </row>
    <row r="311" spans="4:4" ht="15.75" customHeight="1">
      <c r="D311" s="30"/>
    </row>
    <row r="312" spans="4:4" ht="15.75" customHeight="1">
      <c r="D312" s="30"/>
    </row>
    <row r="313" spans="4:4" ht="15.75" customHeight="1">
      <c r="D313" s="30"/>
    </row>
    <row r="314" spans="4:4" ht="15.75" customHeight="1">
      <c r="D314" s="30"/>
    </row>
    <row r="315" spans="4:4" ht="15.75" customHeight="1">
      <c r="D315" s="30"/>
    </row>
    <row r="316" spans="4:4" ht="15.75" customHeight="1">
      <c r="D316" s="30"/>
    </row>
    <row r="317" spans="4:4" ht="15.75" customHeight="1">
      <c r="D317" s="30"/>
    </row>
    <row r="318" spans="4:4" ht="15.75" customHeight="1">
      <c r="D318" s="30"/>
    </row>
    <row r="319" spans="4:4" ht="15.75" customHeight="1">
      <c r="D319" s="30"/>
    </row>
    <row r="320" spans="4:4" ht="15.75" customHeight="1">
      <c r="D320" s="30"/>
    </row>
    <row r="321" spans="4:4" ht="15.75" customHeight="1">
      <c r="D321" s="30"/>
    </row>
    <row r="322" spans="4:4" ht="15.75" customHeight="1">
      <c r="D322" s="30"/>
    </row>
    <row r="323" spans="4:4" ht="15.75" customHeight="1">
      <c r="D323" s="30"/>
    </row>
    <row r="324" spans="4:4" ht="15.75" customHeight="1">
      <c r="D324" s="30"/>
    </row>
    <row r="325" spans="4:4" ht="15.75" customHeight="1">
      <c r="D325" s="30"/>
    </row>
    <row r="326" spans="4:4" ht="15.75" customHeight="1">
      <c r="D326" s="30"/>
    </row>
    <row r="327" spans="4:4" ht="15.75" customHeight="1">
      <c r="D327" s="30"/>
    </row>
    <row r="328" spans="4:4" ht="15.75" customHeight="1">
      <c r="D328" s="30"/>
    </row>
    <row r="329" spans="4:4" ht="15.75" customHeight="1">
      <c r="D329" s="30"/>
    </row>
    <row r="330" spans="4:4" ht="15.75" customHeight="1">
      <c r="D330" s="30"/>
    </row>
    <row r="331" spans="4:4" ht="15.75" customHeight="1">
      <c r="D331" s="30"/>
    </row>
    <row r="332" spans="4:4" ht="15.75" customHeight="1">
      <c r="D332" s="30"/>
    </row>
    <row r="333" spans="4:4" ht="15.75" customHeight="1">
      <c r="D333" s="30"/>
    </row>
    <row r="334" spans="4:4" ht="15.75" customHeight="1">
      <c r="D334" s="30"/>
    </row>
    <row r="335" spans="4:4" ht="15.75" customHeight="1">
      <c r="D335" s="30"/>
    </row>
    <row r="336" spans="4:4" ht="15.75" customHeight="1">
      <c r="D336" s="30"/>
    </row>
    <row r="337" spans="4:4" ht="15.75" customHeight="1">
      <c r="D337" s="30"/>
    </row>
    <row r="338" spans="4:4" ht="15.75" customHeight="1">
      <c r="D338" s="30"/>
    </row>
    <row r="339" spans="4:4" ht="15.75" customHeight="1">
      <c r="D339" s="30"/>
    </row>
    <row r="340" spans="4:4" ht="15.75" customHeight="1">
      <c r="D340" s="30"/>
    </row>
    <row r="341" spans="4:4" ht="15.75" customHeight="1">
      <c r="D341" s="30"/>
    </row>
    <row r="342" spans="4:4" ht="15.75" customHeight="1">
      <c r="D342" s="30"/>
    </row>
    <row r="343" spans="4:4" ht="15.75" customHeight="1">
      <c r="D343" s="30"/>
    </row>
    <row r="344" spans="4:4" ht="15.75" customHeight="1">
      <c r="D344" s="30"/>
    </row>
    <row r="345" spans="4:4" ht="15.75" customHeight="1">
      <c r="D345" s="30"/>
    </row>
    <row r="346" spans="4:4" ht="15.75" customHeight="1">
      <c r="D346" s="30"/>
    </row>
    <row r="347" spans="4:4" ht="15.75" customHeight="1">
      <c r="D347" s="30"/>
    </row>
    <row r="348" spans="4:4" ht="15.75" customHeight="1">
      <c r="D348" s="30"/>
    </row>
    <row r="349" spans="4:4" ht="15.75" customHeight="1">
      <c r="D349" s="30"/>
    </row>
    <row r="350" spans="4:4" ht="15.75" customHeight="1">
      <c r="D350" s="30"/>
    </row>
    <row r="351" spans="4:4" ht="15.75" customHeight="1">
      <c r="D351" s="30"/>
    </row>
    <row r="352" spans="4:4" ht="15.75" customHeight="1">
      <c r="D352" s="30"/>
    </row>
    <row r="353" spans="4:4" ht="15.75" customHeight="1">
      <c r="D353" s="30"/>
    </row>
    <row r="354" spans="4:4" ht="15.75" customHeight="1">
      <c r="D354" s="30"/>
    </row>
    <row r="355" spans="4:4" ht="15.75" customHeight="1">
      <c r="D355" s="30"/>
    </row>
    <row r="356" spans="4:4" ht="15.75" customHeight="1">
      <c r="D356" s="30"/>
    </row>
    <row r="357" spans="4:4" ht="15.75" customHeight="1">
      <c r="D357" s="30"/>
    </row>
    <row r="358" spans="4:4" ht="15.75" customHeight="1">
      <c r="D358" s="30"/>
    </row>
    <row r="359" spans="4:4" ht="15.75" customHeight="1">
      <c r="D359" s="30"/>
    </row>
    <row r="360" spans="4:4" ht="15.75" customHeight="1">
      <c r="D360" s="30"/>
    </row>
    <row r="361" spans="4:4" ht="15.75" customHeight="1">
      <c r="D361" s="30"/>
    </row>
    <row r="362" spans="4:4" ht="15.75" customHeight="1">
      <c r="D362" s="30"/>
    </row>
    <row r="363" spans="4:4" ht="15.75" customHeight="1">
      <c r="D363" s="30"/>
    </row>
    <row r="364" spans="4:4" ht="15.75" customHeight="1">
      <c r="D364" s="30"/>
    </row>
    <row r="365" spans="4:4" ht="15.75" customHeight="1">
      <c r="D365" s="30"/>
    </row>
    <row r="366" spans="4:4" ht="15.75" customHeight="1">
      <c r="D366" s="30"/>
    </row>
    <row r="367" spans="4:4" ht="15.75" customHeight="1">
      <c r="D367" s="30"/>
    </row>
    <row r="368" spans="4:4" ht="15.75" customHeight="1">
      <c r="D368" s="30"/>
    </row>
    <row r="369" spans="4:4" ht="15.75" customHeight="1">
      <c r="D369" s="30"/>
    </row>
    <row r="370" spans="4:4" ht="15.75" customHeight="1">
      <c r="D370" s="30"/>
    </row>
    <row r="371" spans="4:4" ht="15.75" customHeight="1">
      <c r="D371" s="30"/>
    </row>
    <row r="372" spans="4:4" ht="15.75" customHeight="1">
      <c r="D372" s="30"/>
    </row>
    <row r="373" spans="4:4" ht="15.75" customHeight="1">
      <c r="D373" s="30"/>
    </row>
    <row r="374" spans="4:4" ht="15.75" customHeight="1">
      <c r="D374" s="30"/>
    </row>
    <row r="375" spans="4:4" ht="15.75" customHeight="1">
      <c r="D375" s="30"/>
    </row>
    <row r="376" spans="4:4" ht="15.75" customHeight="1">
      <c r="D376" s="30"/>
    </row>
    <row r="377" spans="4:4" ht="15.75" customHeight="1">
      <c r="D377" s="30"/>
    </row>
    <row r="378" spans="4:4" ht="15.75" customHeight="1">
      <c r="D378" s="30"/>
    </row>
    <row r="379" spans="4:4" ht="15.75" customHeight="1">
      <c r="D379" s="30"/>
    </row>
    <row r="380" spans="4:4" ht="15.75" customHeight="1">
      <c r="D380" s="30"/>
    </row>
    <row r="381" spans="4:4" ht="15.75" customHeight="1">
      <c r="D381" s="30"/>
    </row>
    <row r="382" spans="4:4" ht="15.75" customHeight="1">
      <c r="D382" s="30"/>
    </row>
    <row r="383" spans="4:4" ht="15.75" customHeight="1">
      <c r="D383" s="30"/>
    </row>
    <row r="384" spans="4:4" ht="15.75" customHeight="1">
      <c r="D384" s="30"/>
    </row>
    <row r="385" spans="4:4" ht="15.75" customHeight="1">
      <c r="D385" s="30"/>
    </row>
    <row r="386" spans="4:4" ht="15.75" customHeight="1">
      <c r="D386" s="30"/>
    </row>
    <row r="387" spans="4:4" ht="15.75" customHeight="1">
      <c r="D387" s="30"/>
    </row>
    <row r="388" spans="4:4" ht="15.75" customHeight="1">
      <c r="D388" s="30"/>
    </row>
    <row r="389" spans="4:4" ht="15.75" customHeight="1">
      <c r="D389" s="30"/>
    </row>
    <row r="390" spans="4:4" ht="15.75" customHeight="1">
      <c r="D390" s="30"/>
    </row>
    <row r="391" spans="4:4" ht="15.75" customHeight="1">
      <c r="D391" s="30"/>
    </row>
    <row r="392" spans="4:4" ht="15.75" customHeight="1">
      <c r="D392" s="30"/>
    </row>
    <row r="393" spans="4:4" ht="15.75" customHeight="1">
      <c r="D393" s="30"/>
    </row>
    <row r="394" spans="4:4" ht="15.75" customHeight="1">
      <c r="D394" s="30"/>
    </row>
    <row r="395" spans="4:4" ht="15.75" customHeight="1">
      <c r="D395" s="30"/>
    </row>
    <row r="396" spans="4:4" ht="15.75" customHeight="1">
      <c r="D396" s="30"/>
    </row>
    <row r="397" spans="4:4" ht="15.75" customHeight="1">
      <c r="D397" s="30"/>
    </row>
    <row r="398" spans="4:4" ht="15.75" customHeight="1">
      <c r="D398" s="30"/>
    </row>
    <row r="399" spans="4:4" ht="15.75" customHeight="1">
      <c r="D399" s="30"/>
    </row>
    <row r="400" spans="4:4" ht="15.75" customHeight="1">
      <c r="D400" s="30"/>
    </row>
    <row r="401" spans="4:4" ht="15.75" customHeight="1">
      <c r="D401" s="30"/>
    </row>
    <row r="402" spans="4:4" ht="15.75" customHeight="1">
      <c r="D402" s="30"/>
    </row>
    <row r="403" spans="4:4" ht="15.75" customHeight="1">
      <c r="D403" s="30"/>
    </row>
    <row r="404" spans="4:4" ht="15.75" customHeight="1">
      <c r="D404" s="30"/>
    </row>
    <row r="405" spans="4:4" ht="15.75" customHeight="1">
      <c r="D405" s="30"/>
    </row>
    <row r="406" spans="4:4" ht="15.75" customHeight="1">
      <c r="D406" s="30"/>
    </row>
    <row r="407" spans="4:4" ht="15.75" customHeight="1">
      <c r="D407" s="30"/>
    </row>
    <row r="408" spans="4:4" ht="15.75" customHeight="1">
      <c r="D408" s="30"/>
    </row>
    <row r="409" spans="4:4" ht="15.75" customHeight="1">
      <c r="D409" s="30"/>
    </row>
    <row r="410" spans="4:4" ht="15.75" customHeight="1">
      <c r="D410" s="30"/>
    </row>
    <row r="411" spans="4:4" ht="15.75" customHeight="1">
      <c r="D411" s="30"/>
    </row>
    <row r="412" spans="4:4" ht="15.75" customHeight="1">
      <c r="D412" s="30"/>
    </row>
    <row r="413" spans="4:4" ht="15.75" customHeight="1">
      <c r="D413" s="30"/>
    </row>
    <row r="414" spans="4:4" ht="15.75" customHeight="1">
      <c r="D414" s="30"/>
    </row>
    <row r="415" spans="4:4" ht="15.75" customHeight="1">
      <c r="D415" s="30"/>
    </row>
    <row r="416" spans="4:4" ht="15.75" customHeight="1">
      <c r="D416" s="30"/>
    </row>
    <row r="417" spans="4:4" ht="15.75" customHeight="1">
      <c r="D417" s="30"/>
    </row>
    <row r="418" spans="4:4" ht="15.75" customHeight="1">
      <c r="D418" s="30"/>
    </row>
    <row r="419" spans="4:4" ht="15.75" customHeight="1">
      <c r="D419" s="30"/>
    </row>
    <row r="420" spans="4:4" ht="15.75" customHeight="1">
      <c r="D420" s="30"/>
    </row>
    <row r="421" spans="4:4" ht="15.75" customHeight="1">
      <c r="D421" s="30"/>
    </row>
    <row r="422" spans="4:4" ht="15.75" customHeight="1">
      <c r="D422" s="30"/>
    </row>
    <row r="423" spans="4:4" ht="15.75" customHeight="1">
      <c r="D423" s="30"/>
    </row>
    <row r="424" spans="4:4" ht="15.75" customHeight="1">
      <c r="D424" s="30"/>
    </row>
    <row r="425" spans="4:4" ht="15.75" customHeight="1">
      <c r="D425" s="30"/>
    </row>
    <row r="426" spans="4:4" ht="15.75" customHeight="1">
      <c r="D426" s="30"/>
    </row>
    <row r="427" spans="4:4" ht="15.75" customHeight="1">
      <c r="D427" s="30"/>
    </row>
    <row r="428" spans="4:4" ht="15.75" customHeight="1">
      <c r="D428" s="30"/>
    </row>
    <row r="429" spans="4:4" ht="15.75" customHeight="1">
      <c r="D429" s="30"/>
    </row>
    <row r="430" spans="4:4" ht="15.75" customHeight="1">
      <c r="D430" s="30"/>
    </row>
    <row r="431" spans="4:4" ht="15.75" customHeight="1">
      <c r="D431" s="30"/>
    </row>
    <row r="432" spans="4:4" ht="15.75" customHeight="1">
      <c r="D432" s="30"/>
    </row>
    <row r="433" spans="4:4" ht="15.75" customHeight="1">
      <c r="D433" s="30"/>
    </row>
    <row r="434" spans="4:4" ht="15.75" customHeight="1">
      <c r="D434" s="30"/>
    </row>
    <row r="435" spans="4:4" ht="15.75" customHeight="1">
      <c r="D435" s="30"/>
    </row>
    <row r="436" spans="4:4" ht="15.75" customHeight="1">
      <c r="D436" s="30"/>
    </row>
    <row r="437" spans="4:4" ht="15.75" customHeight="1">
      <c r="D437" s="30"/>
    </row>
    <row r="438" spans="4:4" ht="15.75" customHeight="1">
      <c r="D438" s="30"/>
    </row>
    <row r="439" spans="4:4" ht="15.75" customHeight="1">
      <c r="D439" s="30"/>
    </row>
    <row r="440" spans="4:4" ht="15.75" customHeight="1">
      <c r="D440" s="30"/>
    </row>
    <row r="441" spans="4:4" ht="15.75" customHeight="1">
      <c r="D441" s="30"/>
    </row>
    <row r="442" spans="4:4" ht="15.75" customHeight="1">
      <c r="D442" s="30"/>
    </row>
    <row r="443" spans="4:4" ht="15.75" customHeight="1">
      <c r="D443" s="30"/>
    </row>
    <row r="444" spans="4:4" ht="15.75" customHeight="1">
      <c r="D444" s="30"/>
    </row>
    <row r="445" spans="4:4" ht="15.75" customHeight="1">
      <c r="D445" s="30"/>
    </row>
    <row r="446" spans="4:4" ht="15.75" customHeight="1">
      <c r="D446" s="30"/>
    </row>
    <row r="447" spans="4:4" ht="15.75" customHeight="1">
      <c r="D447" s="30"/>
    </row>
    <row r="448" spans="4:4" ht="15.75" customHeight="1">
      <c r="D448" s="30"/>
    </row>
    <row r="449" spans="4:4" ht="15.75" customHeight="1">
      <c r="D449" s="30"/>
    </row>
    <row r="450" spans="4:4" ht="15.75" customHeight="1">
      <c r="D450" s="30"/>
    </row>
    <row r="451" spans="4:4" ht="15.75" customHeight="1">
      <c r="D451" s="30"/>
    </row>
    <row r="452" spans="4:4" ht="15.75" customHeight="1">
      <c r="D452" s="30"/>
    </row>
    <row r="453" spans="4:4" ht="15.75" customHeight="1">
      <c r="D453" s="30"/>
    </row>
    <row r="454" spans="4:4" ht="15.75" customHeight="1">
      <c r="D454" s="30"/>
    </row>
    <row r="455" spans="4:4" ht="15.75" customHeight="1">
      <c r="D455" s="30"/>
    </row>
    <row r="456" spans="4:4" ht="15.75" customHeight="1">
      <c r="D456" s="30"/>
    </row>
    <row r="457" spans="4:4" ht="15.75" customHeight="1">
      <c r="D457" s="30"/>
    </row>
    <row r="458" spans="4:4" ht="15.75" customHeight="1">
      <c r="D458" s="30"/>
    </row>
    <row r="459" spans="4:4" ht="15.75" customHeight="1">
      <c r="D459" s="30"/>
    </row>
    <row r="460" spans="4:4" ht="15.75" customHeight="1">
      <c r="D460" s="30"/>
    </row>
    <row r="461" spans="4:4" ht="15.75" customHeight="1">
      <c r="D461" s="30"/>
    </row>
    <row r="462" spans="4:4" ht="15.75" customHeight="1">
      <c r="D462" s="30"/>
    </row>
    <row r="463" spans="4:4" ht="15.75" customHeight="1">
      <c r="D463" s="30"/>
    </row>
    <row r="464" spans="4:4" ht="15.75" customHeight="1">
      <c r="D464" s="30"/>
    </row>
    <row r="465" spans="4:4" ht="15.75" customHeight="1">
      <c r="D465" s="30"/>
    </row>
    <row r="466" spans="4:4" ht="15.75" customHeight="1">
      <c r="D466" s="30"/>
    </row>
    <row r="467" spans="4:4" ht="15.75" customHeight="1">
      <c r="D467" s="30"/>
    </row>
    <row r="468" spans="4:4" ht="15.75" customHeight="1">
      <c r="D468" s="30"/>
    </row>
    <row r="469" spans="4:4" ht="15.75" customHeight="1">
      <c r="D469" s="30"/>
    </row>
    <row r="470" spans="4:4" ht="15.75" customHeight="1">
      <c r="D470" s="30"/>
    </row>
    <row r="471" spans="4:4" ht="15.75" customHeight="1">
      <c r="D471" s="30"/>
    </row>
    <row r="472" spans="4:4" ht="15.75" customHeight="1">
      <c r="D472" s="30"/>
    </row>
    <row r="473" spans="4:4" ht="15.75" customHeight="1">
      <c r="D473" s="30"/>
    </row>
    <row r="474" spans="4:4" ht="15.75" customHeight="1">
      <c r="D474" s="30"/>
    </row>
    <row r="475" spans="4:4" ht="15.75" customHeight="1">
      <c r="D475" s="30"/>
    </row>
    <row r="476" spans="4:4" ht="15.75" customHeight="1">
      <c r="D476" s="30"/>
    </row>
    <row r="477" spans="4:4" ht="15.75" customHeight="1">
      <c r="D477" s="30"/>
    </row>
    <row r="478" spans="4:4" ht="15.75" customHeight="1">
      <c r="D478" s="30"/>
    </row>
    <row r="479" spans="4:4" ht="15.75" customHeight="1">
      <c r="D479" s="30"/>
    </row>
    <row r="480" spans="4:4" ht="15.75" customHeight="1">
      <c r="D480" s="30"/>
    </row>
    <row r="481" spans="4:4" ht="15.75" customHeight="1">
      <c r="D481" s="30"/>
    </row>
    <row r="482" spans="4:4" ht="15.75" customHeight="1">
      <c r="D482" s="30"/>
    </row>
    <row r="483" spans="4:4" ht="15.75" customHeight="1">
      <c r="D483" s="30"/>
    </row>
    <row r="484" spans="4:4" ht="15.75" customHeight="1">
      <c r="D484" s="30"/>
    </row>
    <row r="485" spans="4:4" ht="15.75" customHeight="1">
      <c r="D485" s="30"/>
    </row>
    <row r="486" spans="4:4" ht="15.75" customHeight="1">
      <c r="D486" s="30"/>
    </row>
    <row r="487" spans="4:4" ht="15.75" customHeight="1">
      <c r="D487" s="30"/>
    </row>
    <row r="488" spans="4:4" ht="15.75" customHeight="1">
      <c r="D488" s="30"/>
    </row>
    <row r="489" spans="4:4" ht="15.75" customHeight="1">
      <c r="D489" s="30"/>
    </row>
    <row r="490" spans="4:4" ht="15.75" customHeight="1">
      <c r="D490" s="30"/>
    </row>
    <row r="491" spans="4:4" ht="15.75" customHeight="1">
      <c r="D491" s="30"/>
    </row>
    <row r="492" spans="4:4" ht="15.75" customHeight="1">
      <c r="D492" s="30"/>
    </row>
    <row r="493" spans="4:4" ht="15.75" customHeight="1">
      <c r="D493" s="30"/>
    </row>
    <row r="494" spans="4:4" ht="15.75" customHeight="1">
      <c r="D494" s="30"/>
    </row>
    <row r="495" spans="4:4" ht="15.75" customHeight="1">
      <c r="D495" s="30"/>
    </row>
    <row r="496" spans="4:4" ht="15.75" customHeight="1">
      <c r="D496" s="30"/>
    </row>
    <row r="497" spans="4:4" ht="15.75" customHeight="1">
      <c r="D497" s="30"/>
    </row>
    <row r="498" spans="4:4" ht="15.75" customHeight="1">
      <c r="D498" s="30"/>
    </row>
    <row r="499" spans="4:4" ht="15.75" customHeight="1">
      <c r="D499" s="30"/>
    </row>
    <row r="500" spans="4:4" ht="15.75" customHeight="1">
      <c r="D500" s="30"/>
    </row>
    <row r="501" spans="4:4" ht="15.75" customHeight="1">
      <c r="D501" s="30"/>
    </row>
    <row r="502" spans="4:4" ht="15.75" customHeight="1">
      <c r="D502" s="30"/>
    </row>
    <row r="503" spans="4:4" ht="15.75" customHeight="1">
      <c r="D503" s="30"/>
    </row>
    <row r="504" spans="4:4" ht="15.75" customHeight="1">
      <c r="D504" s="30"/>
    </row>
    <row r="505" spans="4:4" ht="15.75" customHeight="1">
      <c r="D505" s="30"/>
    </row>
    <row r="506" spans="4:4" ht="15.75" customHeight="1">
      <c r="D506" s="30"/>
    </row>
    <row r="507" spans="4:4" ht="15.75" customHeight="1">
      <c r="D507" s="30"/>
    </row>
    <row r="508" spans="4:4" ht="15.75" customHeight="1">
      <c r="D508" s="30"/>
    </row>
    <row r="509" spans="4:4" ht="15.75" customHeight="1">
      <c r="D509" s="30"/>
    </row>
    <row r="510" spans="4:4" ht="15.75" customHeight="1">
      <c r="D510" s="30"/>
    </row>
    <row r="511" spans="4:4" ht="15.75" customHeight="1">
      <c r="D511" s="30"/>
    </row>
    <row r="512" spans="4:4" ht="15.75" customHeight="1">
      <c r="D512" s="30"/>
    </row>
    <row r="513" spans="4:4" ht="15.75" customHeight="1">
      <c r="D513" s="30"/>
    </row>
    <row r="514" spans="4:4" ht="15.75" customHeight="1">
      <c r="D514" s="30"/>
    </row>
    <row r="515" spans="4:4" ht="15.75" customHeight="1">
      <c r="D515" s="30"/>
    </row>
    <row r="516" spans="4:4" ht="15.75" customHeight="1">
      <c r="D516" s="30"/>
    </row>
    <row r="517" spans="4:4" ht="15.75" customHeight="1">
      <c r="D517" s="30"/>
    </row>
    <row r="518" spans="4:4" ht="15.75" customHeight="1">
      <c r="D518" s="30"/>
    </row>
    <row r="519" spans="4:4" ht="15.75" customHeight="1">
      <c r="D519" s="30"/>
    </row>
    <row r="520" spans="4:4" ht="15.75" customHeight="1">
      <c r="D520" s="30"/>
    </row>
    <row r="521" spans="4:4" ht="15.75" customHeight="1">
      <c r="D521" s="30"/>
    </row>
    <row r="522" spans="4:4" ht="15.75" customHeight="1">
      <c r="D522" s="30"/>
    </row>
    <row r="523" spans="4:4" ht="15.75" customHeight="1">
      <c r="D523" s="30"/>
    </row>
    <row r="524" spans="4:4" ht="15.75" customHeight="1">
      <c r="D524" s="30"/>
    </row>
    <row r="525" spans="4:4" ht="15.75" customHeight="1">
      <c r="D525" s="30"/>
    </row>
    <row r="526" spans="4:4" ht="15.75" customHeight="1">
      <c r="D526" s="30"/>
    </row>
    <row r="527" spans="4:4" ht="15.75" customHeight="1">
      <c r="D527" s="30"/>
    </row>
    <row r="528" spans="4:4" ht="15.75" customHeight="1">
      <c r="D528" s="30"/>
    </row>
    <row r="529" spans="4:4" ht="15.75" customHeight="1">
      <c r="D529" s="30"/>
    </row>
    <row r="530" spans="4:4" ht="15.75" customHeight="1">
      <c r="D530" s="30"/>
    </row>
    <row r="531" spans="4:4" ht="15.75" customHeight="1">
      <c r="D531" s="30"/>
    </row>
    <row r="532" spans="4:4" ht="15.75" customHeight="1">
      <c r="D532" s="30"/>
    </row>
    <row r="533" spans="4:4" ht="15.75" customHeight="1">
      <c r="D533" s="30"/>
    </row>
    <row r="534" spans="4:4" ht="15.75" customHeight="1">
      <c r="D534" s="30"/>
    </row>
    <row r="535" spans="4:4" ht="15.75" customHeight="1">
      <c r="D535" s="30"/>
    </row>
    <row r="536" spans="4:4" ht="15.75" customHeight="1">
      <c r="D536" s="30"/>
    </row>
    <row r="537" spans="4:4" ht="15.75" customHeight="1">
      <c r="D537" s="30"/>
    </row>
    <row r="538" spans="4:4" ht="15.75" customHeight="1">
      <c r="D538" s="30"/>
    </row>
    <row r="539" spans="4:4" ht="15.75" customHeight="1">
      <c r="D539" s="30"/>
    </row>
    <row r="540" spans="4:4" ht="15.75" customHeight="1">
      <c r="D540" s="30"/>
    </row>
    <row r="541" spans="4:4" ht="15.75" customHeight="1">
      <c r="D541" s="30"/>
    </row>
    <row r="542" spans="4:4" ht="15.75" customHeight="1">
      <c r="D542" s="30"/>
    </row>
    <row r="543" spans="4:4" ht="15.75" customHeight="1">
      <c r="D543" s="30"/>
    </row>
    <row r="544" spans="4:4" ht="15.75" customHeight="1">
      <c r="D544" s="30"/>
    </row>
    <row r="545" spans="4:4" ht="15.75" customHeight="1">
      <c r="D545" s="30"/>
    </row>
    <row r="546" spans="4:4" ht="15.75" customHeight="1">
      <c r="D546" s="30"/>
    </row>
    <row r="547" spans="4:4" ht="15.75" customHeight="1">
      <c r="D547" s="30"/>
    </row>
    <row r="548" spans="4:4" ht="15.75" customHeight="1">
      <c r="D548" s="30"/>
    </row>
    <row r="549" spans="4:4" ht="15.75" customHeight="1">
      <c r="D549" s="30"/>
    </row>
    <row r="550" spans="4:4" ht="15.75" customHeight="1">
      <c r="D550" s="30"/>
    </row>
    <row r="551" spans="4:4" ht="15.75" customHeight="1">
      <c r="D551" s="30"/>
    </row>
    <row r="552" spans="4:4" ht="15.75" customHeight="1">
      <c r="D552" s="30"/>
    </row>
    <row r="553" spans="4:4" ht="15.75" customHeight="1">
      <c r="D553" s="30"/>
    </row>
    <row r="554" spans="4:4" ht="15.75" customHeight="1">
      <c r="D554" s="30"/>
    </row>
    <row r="555" spans="4:4" ht="15.75" customHeight="1">
      <c r="D555" s="30"/>
    </row>
    <row r="556" spans="4:4" ht="15.75" customHeight="1">
      <c r="D556" s="30"/>
    </row>
    <row r="557" spans="4:4" ht="15.75" customHeight="1">
      <c r="D557" s="30"/>
    </row>
    <row r="558" spans="4:4" ht="15.75" customHeight="1">
      <c r="D558" s="30"/>
    </row>
    <row r="559" spans="4:4" ht="15.75" customHeight="1">
      <c r="D559" s="30"/>
    </row>
    <row r="560" spans="4:4" ht="15.75" customHeight="1">
      <c r="D560" s="30"/>
    </row>
    <row r="561" spans="4:4" ht="15.75" customHeight="1">
      <c r="D561" s="30"/>
    </row>
    <row r="562" spans="4:4" ht="15.75" customHeight="1">
      <c r="D562" s="30"/>
    </row>
    <row r="563" spans="4:4" ht="15.75" customHeight="1">
      <c r="D563" s="30"/>
    </row>
    <row r="564" spans="4:4" ht="15.75" customHeight="1">
      <c r="D564" s="30"/>
    </row>
    <row r="565" spans="4:4" ht="15.75" customHeight="1">
      <c r="D565" s="30"/>
    </row>
    <row r="566" spans="4:4" ht="15.75" customHeight="1">
      <c r="D566" s="30"/>
    </row>
    <row r="567" spans="4:4" ht="15.75" customHeight="1">
      <c r="D567" s="30"/>
    </row>
    <row r="568" spans="4:4" ht="15.75" customHeight="1">
      <c r="D568" s="30"/>
    </row>
    <row r="569" spans="4:4" ht="15.75" customHeight="1">
      <c r="D569" s="30"/>
    </row>
    <row r="570" spans="4:4" ht="15.75" customHeight="1">
      <c r="D570" s="30"/>
    </row>
    <row r="571" spans="4:4" ht="15.75" customHeight="1">
      <c r="D571" s="30"/>
    </row>
    <row r="572" spans="4:4" ht="15.75" customHeight="1">
      <c r="D572" s="30"/>
    </row>
    <row r="573" spans="4:4" ht="15.75" customHeight="1">
      <c r="D573" s="30"/>
    </row>
    <row r="574" spans="4:4" ht="15.75" customHeight="1">
      <c r="D574" s="30"/>
    </row>
    <row r="575" spans="4:4" ht="15.75" customHeight="1">
      <c r="D575" s="30"/>
    </row>
    <row r="576" spans="4:4" ht="15.75" customHeight="1">
      <c r="D576" s="30"/>
    </row>
    <row r="577" spans="4:4" ht="15.75" customHeight="1">
      <c r="D577" s="30"/>
    </row>
    <row r="578" spans="4:4" ht="15.75" customHeight="1">
      <c r="D578" s="30"/>
    </row>
    <row r="579" spans="4:4" ht="15.75" customHeight="1">
      <c r="D579" s="30"/>
    </row>
    <row r="580" spans="4:4" ht="15.75" customHeight="1">
      <c r="D580" s="30"/>
    </row>
    <row r="581" spans="4:4" ht="15.75" customHeight="1">
      <c r="D581" s="30"/>
    </row>
    <row r="582" spans="4:4" ht="15.75" customHeight="1">
      <c r="D582" s="30"/>
    </row>
    <row r="583" spans="4:4" ht="15.75" customHeight="1">
      <c r="D583" s="30"/>
    </row>
    <row r="584" spans="4:4" ht="15.75" customHeight="1">
      <c r="D584" s="30"/>
    </row>
    <row r="585" spans="4:4" ht="15.75" customHeight="1">
      <c r="D585" s="30"/>
    </row>
    <row r="586" spans="4:4" ht="15.75" customHeight="1">
      <c r="D586" s="30"/>
    </row>
    <row r="587" spans="4:4" ht="15.75" customHeight="1">
      <c r="D587" s="30"/>
    </row>
    <row r="588" spans="4:4" ht="15.75" customHeight="1">
      <c r="D588" s="30"/>
    </row>
    <row r="589" spans="4:4" ht="15.75" customHeight="1">
      <c r="D589" s="30"/>
    </row>
    <row r="590" spans="4:4" ht="15.75" customHeight="1">
      <c r="D590" s="30"/>
    </row>
    <row r="591" spans="4:4" ht="15.75" customHeight="1">
      <c r="D591" s="30"/>
    </row>
    <row r="592" spans="4:4" ht="15.75" customHeight="1">
      <c r="D592" s="30"/>
    </row>
    <row r="593" spans="4:4" ht="15.75" customHeight="1">
      <c r="D593" s="30"/>
    </row>
    <row r="594" spans="4:4" ht="15.75" customHeight="1">
      <c r="D594" s="30"/>
    </row>
    <row r="595" spans="4:4" ht="15.75" customHeight="1">
      <c r="D595" s="30"/>
    </row>
    <row r="596" spans="4:4" ht="15.75" customHeight="1">
      <c r="D596" s="30"/>
    </row>
    <row r="597" spans="4:4" ht="15.75" customHeight="1">
      <c r="D597" s="30"/>
    </row>
    <row r="598" spans="4:4" ht="15.75" customHeight="1">
      <c r="D598" s="30"/>
    </row>
    <row r="599" spans="4:4" ht="15.75" customHeight="1">
      <c r="D599" s="30"/>
    </row>
    <row r="600" spans="4:4" ht="15.75" customHeight="1">
      <c r="D600" s="30"/>
    </row>
    <row r="601" spans="4:4" ht="15.75" customHeight="1">
      <c r="D601" s="30"/>
    </row>
    <row r="602" spans="4:4" ht="15.75" customHeight="1">
      <c r="D602" s="30"/>
    </row>
    <row r="603" spans="4:4" ht="15.75" customHeight="1">
      <c r="D603" s="30"/>
    </row>
    <row r="604" spans="4:4" ht="15.75" customHeight="1">
      <c r="D604" s="30"/>
    </row>
    <row r="605" spans="4:4" ht="15.75" customHeight="1">
      <c r="D605" s="30"/>
    </row>
    <row r="606" spans="4:4" ht="15.75" customHeight="1">
      <c r="D606" s="30"/>
    </row>
    <row r="607" spans="4:4" ht="15.75" customHeight="1">
      <c r="D607" s="30"/>
    </row>
    <row r="608" spans="4:4" ht="15.75" customHeight="1">
      <c r="D608" s="30"/>
    </row>
    <row r="609" spans="4:4" ht="15.75" customHeight="1">
      <c r="D609" s="30"/>
    </row>
    <row r="610" spans="4:4" ht="15.75" customHeight="1">
      <c r="D610" s="30"/>
    </row>
    <row r="611" spans="4:4" ht="15.75" customHeight="1">
      <c r="D611" s="30"/>
    </row>
    <row r="612" spans="4:4" ht="15.75" customHeight="1">
      <c r="D612" s="30"/>
    </row>
    <row r="613" spans="4:4" ht="15.75" customHeight="1">
      <c r="D613" s="30"/>
    </row>
    <row r="614" spans="4:4" ht="15.75" customHeight="1">
      <c r="D614" s="30"/>
    </row>
    <row r="615" spans="4:4" ht="15.75" customHeight="1">
      <c r="D615" s="30"/>
    </row>
    <row r="616" spans="4:4" ht="15.75" customHeight="1">
      <c r="D616" s="30"/>
    </row>
    <row r="617" spans="4:4" ht="15.75" customHeight="1">
      <c r="D617" s="30"/>
    </row>
    <row r="618" spans="4:4" ht="15.75" customHeight="1">
      <c r="D618" s="30"/>
    </row>
    <row r="619" spans="4:4" ht="15.75" customHeight="1">
      <c r="D619" s="30"/>
    </row>
    <row r="620" spans="4:4" ht="15.75" customHeight="1">
      <c r="D620" s="30"/>
    </row>
    <row r="621" spans="4:4" ht="15.75" customHeight="1">
      <c r="D621" s="30"/>
    </row>
    <row r="622" spans="4:4" ht="15.75" customHeight="1">
      <c r="D622" s="30"/>
    </row>
    <row r="623" spans="4:4" ht="15.75" customHeight="1">
      <c r="D623" s="30"/>
    </row>
    <row r="624" spans="4:4" ht="15.75" customHeight="1">
      <c r="D624" s="30"/>
    </row>
    <row r="625" spans="4:4" ht="15.75" customHeight="1">
      <c r="D625" s="30"/>
    </row>
    <row r="626" spans="4:4" ht="15.75" customHeight="1">
      <c r="D626" s="30"/>
    </row>
    <row r="627" spans="4:4" ht="15.75" customHeight="1">
      <c r="D627" s="30"/>
    </row>
    <row r="628" spans="4:4" ht="15.75" customHeight="1">
      <c r="D628" s="30"/>
    </row>
    <row r="629" spans="4:4" ht="15.75" customHeight="1">
      <c r="D629" s="30"/>
    </row>
    <row r="630" spans="4:4" ht="15.75" customHeight="1">
      <c r="D630" s="30"/>
    </row>
    <row r="631" spans="4:4" ht="15.75" customHeight="1">
      <c r="D631" s="30"/>
    </row>
    <row r="632" spans="4:4" ht="15.75" customHeight="1">
      <c r="D632" s="30"/>
    </row>
    <row r="633" spans="4:4" ht="15.75" customHeight="1">
      <c r="D633" s="30"/>
    </row>
    <row r="634" spans="4:4" ht="15.75" customHeight="1">
      <c r="D634" s="30"/>
    </row>
    <row r="635" spans="4:4" ht="15.75" customHeight="1">
      <c r="D635" s="30"/>
    </row>
    <row r="636" spans="4:4" ht="15.75" customHeight="1">
      <c r="D636" s="30"/>
    </row>
    <row r="637" spans="4:4" ht="15.75" customHeight="1">
      <c r="D637" s="30"/>
    </row>
    <row r="638" spans="4:4" ht="15.75" customHeight="1">
      <c r="D638" s="30"/>
    </row>
    <row r="639" spans="4:4" ht="15.75" customHeight="1">
      <c r="D639" s="30"/>
    </row>
    <row r="640" spans="4:4" ht="15.75" customHeight="1">
      <c r="D640" s="30"/>
    </row>
    <row r="641" spans="4:4" ht="15.75" customHeight="1">
      <c r="D641" s="30"/>
    </row>
    <row r="642" spans="4:4" ht="15.75" customHeight="1">
      <c r="D642" s="30"/>
    </row>
    <row r="643" spans="4:4" ht="15.75" customHeight="1">
      <c r="D643" s="30"/>
    </row>
    <row r="644" spans="4:4" ht="15.75" customHeight="1">
      <c r="D644" s="30"/>
    </row>
    <row r="645" spans="4:4" ht="15.75" customHeight="1">
      <c r="D645" s="30"/>
    </row>
    <row r="646" spans="4:4" ht="15.75" customHeight="1">
      <c r="D646" s="30"/>
    </row>
    <row r="647" spans="4:4" ht="15.75" customHeight="1">
      <c r="D647" s="30"/>
    </row>
    <row r="648" spans="4:4" ht="15.75" customHeight="1">
      <c r="D648" s="30"/>
    </row>
    <row r="649" spans="4:4" ht="15.75" customHeight="1">
      <c r="D649" s="30"/>
    </row>
    <row r="650" spans="4:4" ht="15.75" customHeight="1">
      <c r="D650" s="30"/>
    </row>
    <row r="651" spans="4:4" ht="15.75" customHeight="1">
      <c r="D651" s="30"/>
    </row>
    <row r="652" spans="4:4" ht="15.75" customHeight="1">
      <c r="D652" s="30"/>
    </row>
    <row r="653" spans="4:4" ht="15.75" customHeight="1">
      <c r="D653" s="30"/>
    </row>
    <row r="654" spans="4:4" ht="15.75" customHeight="1">
      <c r="D654" s="30"/>
    </row>
    <row r="655" spans="4:4" ht="15.75" customHeight="1">
      <c r="D655" s="30"/>
    </row>
    <row r="656" spans="4:4" ht="15.75" customHeight="1">
      <c r="D656" s="30"/>
    </row>
    <row r="657" spans="4:4" ht="15.75" customHeight="1">
      <c r="D657" s="30"/>
    </row>
    <row r="658" spans="4:4" ht="15.75" customHeight="1">
      <c r="D658" s="30"/>
    </row>
    <row r="659" spans="4:4" ht="15.75" customHeight="1">
      <c r="D659" s="30"/>
    </row>
    <row r="660" spans="4:4" ht="15.75" customHeight="1">
      <c r="D660" s="30"/>
    </row>
    <row r="661" spans="4:4" ht="15.75" customHeight="1">
      <c r="D661" s="30"/>
    </row>
    <row r="662" spans="4:4" ht="15.75" customHeight="1">
      <c r="D662" s="30"/>
    </row>
    <row r="663" spans="4:4" ht="15.75" customHeight="1">
      <c r="D663" s="30"/>
    </row>
    <row r="664" spans="4:4" ht="15.75" customHeight="1">
      <c r="D664" s="30"/>
    </row>
    <row r="665" spans="4:4" ht="15.75" customHeight="1">
      <c r="D665" s="30"/>
    </row>
    <row r="666" spans="4:4" ht="15.75" customHeight="1">
      <c r="D666" s="30"/>
    </row>
    <row r="667" spans="4:4" ht="15.75" customHeight="1">
      <c r="D667" s="30"/>
    </row>
    <row r="668" spans="4:4" ht="15.75" customHeight="1">
      <c r="D668" s="30"/>
    </row>
    <row r="669" spans="4:4" ht="15.75" customHeight="1">
      <c r="D669" s="30"/>
    </row>
    <row r="670" spans="4:4" ht="15.75" customHeight="1">
      <c r="D670" s="30"/>
    </row>
    <row r="671" spans="4:4" ht="15.75" customHeight="1">
      <c r="D671" s="30"/>
    </row>
    <row r="672" spans="4:4" ht="15.75" customHeight="1">
      <c r="D672" s="30"/>
    </row>
    <row r="673" spans="4:4" ht="15.75" customHeight="1">
      <c r="D673" s="30"/>
    </row>
    <row r="674" spans="4:4" ht="15.75" customHeight="1">
      <c r="D674" s="30"/>
    </row>
    <row r="675" spans="4:4" ht="15.75" customHeight="1">
      <c r="D675" s="30"/>
    </row>
    <row r="676" spans="4:4" ht="15.75" customHeight="1">
      <c r="D676" s="30"/>
    </row>
    <row r="677" spans="4:4" ht="15.75" customHeight="1">
      <c r="D677" s="30"/>
    </row>
    <row r="678" spans="4:4" ht="15.75" customHeight="1">
      <c r="D678" s="30"/>
    </row>
    <row r="679" spans="4:4" ht="15.75" customHeight="1">
      <c r="D679" s="30"/>
    </row>
    <row r="680" spans="4:4" ht="15.75" customHeight="1">
      <c r="D680" s="30"/>
    </row>
    <row r="681" spans="4:4" ht="15.75" customHeight="1">
      <c r="D681" s="30"/>
    </row>
    <row r="682" spans="4:4" ht="15.75" customHeight="1">
      <c r="D682" s="30"/>
    </row>
    <row r="683" spans="4:4" ht="15.75" customHeight="1">
      <c r="D683" s="30"/>
    </row>
    <row r="684" spans="4:4" ht="15.75" customHeight="1">
      <c r="D684" s="30"/>
    </row>
    <row r="685" spans="4:4" ht="15.75" customHeight="1">
      <c r="D685" s="30"/>
    </row>
    <row r="686" spans="4:4" ht="15.75" customHeight="1">
      <c r="D686" s="30"/>
    </row>
    <row r="687" spans="4:4" ht="15.75" customHeight="1">
      <c r="D687" s="30"/>
    </row>
    <row r="688" spans="4:4" ht="15.75" customHeight="1">
      <c r="D688" s="30"/>
    </row>
    <row r="689" spans="4:4" ht="15.75" customHeight="1">
      <c r="D689" s="30"/>
    </row>
    <row r="690" spans="4:4" ht="15.75" customHeight="1">
      <c r="D690" s="30"/>
    </row>
    <row r="691" spans="4:4" ht="15.75" customHeight="1">
      <c r="D691" s="30"/>
    </row>
    <row r="692" spans="4:4" ht="15.75" customHeight="1">
      <c r="D692" s="30"/>
    </row>
    <row r="693" spans="4:4" ht="15.75" customHeight="1">
      <c r="D693" s="30"/>
    </row>
    <row r="694" spans="4:4" ht="15.75" customHeight="1">
      <c r="D694" s="30"/>
    </row>
    <row r="695" spans="4:4" ht="15.75" customHeight="1">
      <c r="D695" s="30"/>
    </row>
    <row r="696" spans="4:4" ht="15.75" customHeight="1">
      <c r="D696" s="30"/>
    </row>
    <row r="697" spans="4:4" ht="15.75" customHeight="1">
      <c r="D697" s="30"/>
    </row>
    <row r="698" spans="4:4" ht="15.75" customHeight="1">
      <c r="D698" s="30"/>
    </row>
    <row r="699" spans="4:4" ht="15.75" customHeight="1">
      <c r="D699" s="30"/>
    </row>
    <row r="700" spans="4:4" ht="15.75" customHeight="1">
      <c r="D700" s="30"/>
    </row>
    <row r="701" spans="4:4" ht="15.75" customHeight="1">
      <c r="D701" s="30"/>
    </row>
    <row r="702" spans="4:4" ht="15.75" customHeight="1">
      <c r="D702" s="30"/>
    </row>
    <row r="703" spans="4:4" ht="15.75" customHeight="1">
      <c r="D703" s="30"/>
    </row>
    <row r="704" spans="4:4" ht="15.75" customHeight="1">
      <c r="D704" s="30"/>
    </row>
    <row r="705" spans="4:4" ht="15.75" customHeight="1">
      <c r="D705" s="30"/>
    </row>
    <row r="706" spans="4:4" ht="15.75" customHeight="1">
      <c r="D706" s="30"/>
    </row>
    <row r="707" spans="4:4" ht="15.75" customHeight="1">
      <c r="D707" s="30"/>
    </row>
    <row r="708" spans="4:4" ht="15.75" customHeight="1">
      <c r="D708" s="30"/>
    </row>
    <row r="709" spans="4:4" ht="15.75" customHeight="1">
      <c r="D709" s="30"/>
    </row>
    <row r="710" spans="4:4" ht="15.75" customHeight="1">
      <c r="D710" s="30"/>
    </row>
    <row r="711" spans="4:4" ht="15.75" customHeight="1">
      <c r="D711" s="30"/>
    </row>
    <row r="712" spans="4:4" ht="15.75" customHeight="1">
      <c r="D712" s="30"/>
    </row>
    <row r="713" spans="4:4" ht="15.75" customHeight="1">
      <c r="D713" s="30"/>
    </row>
    <row r="714" spans="4:4" ht="15.75" customHeight="1">
      <c r="D714" s="30"/>
    </row>
    <row r="715" spans="4:4" ht="15.75" customHeight="1">
      <c r="D715" s="30"/>
    </row>
    <row r="716" spans="4:4" ht="15.75" customHeight="1">
      <c r="D716" s="30"/>
    </row>
    <row r="717" spans="4:4" ht="15.75" customHeight="1">
      <c r="D717" s="30"/>
    </row>
    <row r="718" spans="4:4" ht="15.75" customHeight="1">
      <c r="D718" s="30"/>
    </row>
    <row r="719" spans="4:4" ht="15.75" customHeight="1">
      <c r="D719" s="30"/>
    </row>
    <row r="720" spans="4:4" ht="15.75" customHeight="1">
      <c r="D720" s="30"/>
    </row>
    <row r="721" spans="4:4" ht="15.75" customHeight="1">
      <c r="D721" s="30"/>
    </row>
    <row r="722" spans="4:4" ht="15.75" customHeight="1">
      <c r="D722" s="30"/>
    </row>
    <row r="723" spans="4:4" ht="15.75" customHeight="1">
      <c r="D723" s="30"/>
    </row>
    <row r="724" spans="4:4" ht="15.75" customHeight="1">
      <c r="D724" s="30"/>
    </row>
    <row r="725" spans="4:4" ht="15.75" customHeight="1">
      <c r="D725" s="30"/>
    </row>
    <row r="726" spans="4:4" ht="15.75" customHeight="1">
      <c r="D726" s="30"/>
    </row>
    <row r="727" spans="4:4" ht="15.75" customHeight="1">
      <c r="D727" s="30"/>
    </row>
    <row r="728" spans="4:4" ht="15.75" customHeight="1">
      <c r="D728" s="30"/>
    </row>
    <row r="729" spans="4:4" ht="15.75" customHeight="1">
      <c r="D729" s="30"/>
    </row>
    <row r="730" spans="4:4" ht="15.75" customHeight="1">
      <c r="D730" s="30"/>
    </row>
    <row r="731" spans="4:4" ht="15.75" customHeight="1">
      <c r="D731" s="30"/>
    </row>
    <row r="732" spans="4:4" ht="15.75" customHeight="1">
      <c r="D732" s="30"/>
    </row>
    <row r="733" spans="4:4" ht="15.75" customHeight="1">
      <c r="D733" s="30"/>
    </row>
    <row r="734" spans="4:4" ht="15.75" customHeight="1">
      <c r="D734" s="30"/>
    </row>
    <row r="735" spans="4:4" ht="15.75" customHeight="1">
      <c r="D735" s="30"/>
    </row>
    <row r="736" spans="4:4" ht="15.75" customHeight="1">
      <c r="D736" s="30"/>
    </row>
    <row r="737" spans="4:4" ht="15.75" customHeight="1">
      <c r="D737" s="30"/>
    </row>
    <row r="738" spans="4:4" ht="15.75" customHeight="1">
      <c r="D738" s="30"/>
    </row>
    <row r="739" spans="4:4" ht="15.75" customHeight="1">
      <c r="D739" s="30"/>
    </row>
    <row r="740" spans="4:4" ht="15.75" customHeight="1">
      <c r="D740" s="30"/>
    </row>
    <row r="741" spans="4:4" ht="15.75" customHeight="1">
      <c r="D741" s="30"/>
    </row>
    <row r="742" spans="4:4" ht="15.75" customHeight="1">
      <c r="D742" s="30"/>
    </row>
    <row r="743" spans="4:4" ht="15.75" customHeight="1">
      <c r="D743" s="30"/>
    </row>
    <row r="744" spans="4:4" ht="15.75" customHeight="1">
      <c r="D744" s="30"/>
    </row>
    <row r="745" spans="4:4" ht="15.75" customHeight="1">
      <c r="D745" s="30"/>
    </row>
    <row r="746" spans="4:4" ht="15.75" customHeight="1">
      <c r="D746" s="30"/>
    </row>
    <row r="747" spans="4:4" ht="15.75" customHeight="1">
      <c r="D747" s="30"/>
    </row>
    <row r="748" spans="4:4" ht="15.75" customHeight="1">
      <c r="D748" s="30"/>
    </row>
    <row r="749" spans="4:4" ht="15.75" customHeight="1">
      <c r="D749" s="30"/>
    </row>
    <row r="750" spans="4:4" ht="15.75" customHeight="1">
      <c r="D750" s="30"/>
    </row>
    <row r="751" spans="4:4" ht="15.75" customHeight="1">
      <c r="D751" s="30"/>
    </row>
    <row r="752" spans="4:4" ht="15.75" customHeight="1">
      <c r="D752" s="30"/>
    </row>
    <row r="753" spans="4:4" ht="15.75" customHeight="1">
      <c r="D753" s="30"/>
    </row>
    <row r="754" spans="4:4" ht="15.75" customHeight="1">
      <c r="D754" s="30"/>
    </row>
    <row r="755" spans="4:4" ht="15.75" customHeight="1">
      <c r="D755" s="30"/>
    </row>
    <row r="756" spans="4:4" ht="15.75" customHeight="1">
      <c r="D756" s="30"/>
    </row>
    <row r="757" spans="4:4" ht="15.75" customHeight="1">
      <c r="D757" s="30"/>
    </row>
    <row r="758" spans="4:4" ht="15.75" customHeight="1">
      <c r="D758" s="30"/>
    </row>
    <row r="759" spans="4:4" ht="15.75" customHeight="1">
      <c r="D759" s="30"/>
    </row>
    <row r="760" spans="4:4" ht="15.75" customHeight="1">
      <c r="D760" s="30"/>
    </row>
    <row r="761" spans="4:4" ht="15.75" customHeight="1">
      <c r="D761" s="30"/>
    </row>
    <row r="762" spans="4:4" ht="15.75" customHeight="1">
      <c r="D762" s="30"/>
    </row>
    <row r="763" spans="4:4" ht="15.75" customHeight="1">
      <c r="D763" s="30"/>
    </row>
    <row r="764" spans="4:4" ht="15.75" customHeight="1">
      <c r="D764" s="30"/>
    </row>
    <row r="765" spans="4:4" ht="15.75" customHeight="1">
      <c r="D765" s="30"/>
    </row>
    <row r="766" spans="4:4" ht="15.75" customHeight="1">
      <c r="D766" s="30"/>
    </row>
    <row r="767" spans="4:4" ht="15.75" customHeight="1">
      <c r="D767" s="30"/>
    </row>
    <row r="768" spans="4:4" ht="15.75" customHeight="1">
      <c r="D768" s="30"/>
    </row>
    <row r="769" spans="4:4" ht="15.75" customHeight="1">
      <c r="D769" s="30"/>
    </row>
    <row r="770" spans="4:4" ht="15.75" customHeight="1">
      <c r="D770" s="30"/>
    </row>
    <row r="771" spans="4:4" ht="15.75" customHeight="1">
      <c r="D771" s="30"/>
    </row>
    <row r="772" spans="4:4" ht="15.75" customHeight="1">
      <c r="D772" s="30"/>
    </row>
    <row r="773" spans="4:4" ht="15.75" customHeight="1">
      <c r="D773" s="30"/>
    </row>
    <row r="774" spans="4:4" ht="15.75" customHeight="1">
      <c r="D774" s="30"/>
    </row>
    <row r="775" spans="4:4" ht="15.75" customHeight="1">
      <c r="D775" s="30"/>
    </row>
    <row r="776" spans="4:4" ht="15.75" customHeight="1">
      <c r="D776" s="30"/>
    </row>
    <row r="777" spans="4:4" ht="15.75" customHeight="1">
      <c r="D777" s="30"/>
    </row>
    <row r="778" spans="4:4" ht="15.75" customHeight="1">
      <c r="D778" s="30"/>
    </row>
    <row r="779" spans="4:4" ht="15.75" customHeight="1">
      <c r="D779" s="30"/>
    </row>
    <row r="780" spans="4:4" ht="15.75" customHeight="1">
      <c r="D780" s="30"/>
    </row>
    <row r="781" spans="4:4" ht="15.75" customHeight="1">
      <c r="D781" s="30"/>
    </row>
    <row r="782" spans="4:4" ht="15.75" customHeight="1">
      <c r="D782" s="30"/>
    </row>
    <row r="783" spans="4:4" ht="15.75" customHeight="1">
      <c r="D783" s="30"/>
    </row>
    <row r="784" spans="4:4" ht="15.75" customHeight="1">
      <c r="D784" s="30"/>
    </row>
    <row r="785" spans="4:4" ht="15.75" customHeight="1">
      <c r="D785" s="30"/>
    </row>
    <row r="786" spans="4:4" ht="15.75" customHeight="1">
      <c r="D786" s="30"/>
    </row>
    <row r="787" spans="4:4" ht="15.75" customHeight="1">
      <c r="D787" s="30"/>
    </row>
    <row r="788" spans="4:4" ht="15.75" customHeight="1">
      <c r="D788" s="30"/>
    </row>
    <row r="789" spans="4:4" ht="15.75" customHeight="1">
      <c r="D789" s="30"/>
    </row>
    <row r="790" spans="4:4" ht="15.75" customHeight="1">
      <c r="D790" s="30"/>
    </row>
    <row r="791" spans="4:4" ht="15.75" customHeight="1">
      <c r="D791" s="30"/>
    </row>
    <row r="792" spans="4:4" ht="15.75" customHeight="1">
      <c r="D792" s="30"/>
    </row>
    <row r="793" spans="4:4" ht="15.75" customHeight="1">
      <c r="D793" s="30"/>
    </row>
    <row r="794" spans="4:4" ht="15.75" customHeight="1">
      <c r="D794" s="30"/>
    </row>
    <row r="795" spans="4:4" ht="15.75" customHeight="1">
      <c r="D795" s="30"/>
    </row>
    <row r="796" spans="4:4" ht="15.75" customHeight="1">
      <c r="D796" s="30"/>
    </row>
    <row r="797" spans="4:4" ht="15.75" customHeight="1">
      <c r="D797" s="30"/>
    </row>
    <row r="798" spans="4:4" ht="15.75" customHeight="1">
      <c r="D798" s="30"/>
    </row>
    <row r="799" spans="4:4" ht="15.75" customHeight="1">
      <c r="D799" s="30"/>
    </row>
    <row r="800" spans="4:4" ht="15.75" customHeight="1">
      <c r="D800" s="30"/>
    </row>
    <row r="801" spans="4:4" ht="15.75" customHeight="1">
      <c r="D801" s="30"/>
    </row>
    <row r="802" spans="4:4" ht="15.75" customHeight="1">
      <c r="D802" s="30"/>
    </row>
    <row r="803" spans="4:4" ht="15.75" customHeight="1">
      <c r="D803" s="30"/>
    </row>
    <row r="804" spans="4:4" ht="15.75" customHeight="1">
      <c r="D804" s="30"/>
    </row>
    <row r="805" spans="4:4" ht="15.75" customHeight="1">
      <c r="D805" s="30"/>
    </row>
    <row r="806" spans="4:4" ht="15.75" customHeight="1">
      <c r="D806" s="30"/>
    </row>
    <row r="807" spans="4:4" ht="15.75" customHeight="1">
      <c r="D807" s="30"/>
    </row>
    <row r="808" spans="4:4" ht="15.75" customHeight="1">
      <c r="D808" s="30"/>
    </row>
    <row r="809" spans="4:4" ht="15.75" customHeight="1">
      <c r="D809" s="30"/>
    </row>
    <row r="810" spans="4:4" ht="15.75" customHeight="1">
      <c r="D810" s="30"/>
    </row>
    <row r="811" spans="4:4" ht="15.75" customHeight="1">
      <c r="D811" s="30"/>
    </row>
    <row r="812" spans="4:4" ht="15.75" customHeight="1">
      <c r="D812" s="30"/>
    </row>
    <row r="813" spans="4:4" ht="15.75" customHeight="1">
      <c r="D813" s="30"/>
    </row>
    <row r="814" spans="4:4" ht="15.75" customHeight="1">
      <c r="D814" s="30"/>
    </row>
    <row r="815" spans="4:4" ht="15.75" customHeight="1">
      <c r="D815" s="30"/>
    </row>
    <row r="816" spans="4:4" ht="15.75" customHeight="1">
      <c r="D816" s="30"/>
    </row>
    <row r="817" spans="4:4" ht="15.75" customHeight="1">
      <c r="D817" s="30"/>
    </row>
    <row r="818" spans="4:4" ht="15.75" customHeight="1">
      <c r="D818" s="30"/>
    </row>
    <row r="819" spans="4:4" ht="15.75" customHeight="1">
      <c r="D819" s="30"/>
    </row>
    <row r="820" spans="4:4" ht="15.75" customHeight="1">
      <c r="D820" s="30"/>
    </row>
    <row r="821" spans="4:4" ht="15.75" customHeight="1">
      <c r="D821" s="30"/>
    </row>
    <row r="822" spans="4:4" ht="15.75" customHeight="1">
      <c r="D822" s="30"/>
    </row>
    <row r="823" spans="4:4" ht="15.75" customHeight="1">
      <c r="D823" s="30"/>
    </row>
    <row r="824" spans="4:4" ht="15.75" customHeight="1">
      <c r="D824" s="30"/>
    </row>
    <row r="825" spans="4:4" ht="15.75" customHeight="1">
      <c r="D825" s="30"/>
    </row>
    <row r="826" spans="4:4" ht="15.75" customHeight="1">
      <c r="D826" s="30"/>
    </row>
    <row r="827" spans="4:4" ht="15.75" customHeight="1">
      <c r="D827" s="30"/>
    </row>
    <row r="828" spans="4:4" ht="15.75" customHeight="1">
      <c r="D828" s="30"/>
    </row>
    <row r="829" spans="4:4" ht="15.75" customHeight="1">
      <c r="D829" s="30"/>
    </row>
    <row r="830" spans="4:4" ht="15.75" customHeight="1">
      <c r="D830" s="30"/>
    </row>
    <row r="831" spans="4:4" ht="15.75" customHeight="1">
      <c r="D831" s="30"/>
    </row>
    <row r="832" spans="4:4" ht="15.75" customHeight="1">
      <c r="D832" s="30"/>
    </row>
    <row r="833" spans="4:4" ht="15.75" customHeight="1">
      <c r="D833" s="30"/>
    </row>
    <row r="834" spans="4:4" ht="15.75" customHeight="1">
      <c r="D834" s="30"/>
    </row>
    <row r="835" spans="4:4" ht="15.75" customHeight="1">
      <c r="D835" s="30"/>
    </row>
    <row r="836" spans="4:4" ht="15.75" customHeight="1">
      <c r="D836" s="30"/>
    </row>
    <row r="837" spans="4:4" ht="15.75" customHeight="1">
      <c r="D837" s="30"/>
    </row>
    <row r="838" spans="4:4" ht="15.75" customHeight="1">
      <c r="D838" s="30"/>
    </row>
    <row r="839" spans="4:4" ht="15.75" customHeight="1">
      <c r="D839" s="30"/>
    </row>
    <row r="840" spans="4:4" ht="15.75" customHeight="1">
      <c r="D840" s="30"/>
    </row>
    <row r="841" spans="4:4" ht="15.75" customHeight="1">
      <c r="D841" s="30"/>
    </row>
    <row r="842" spans="4:4" ht="15.75" customHeight="1">
      <c r="D842" s="30"/>
    </row>
    <row r="843" spans="4:4" ht="15.75" customHeight="1">
      <c r="D843" s="30"/>
    </row>
    <row r="844" spans="4:4" ht="15.75" customHeight="1">
      <c r="D844" s="30"/>
    </row>
    <row r="845" spans="4:4" ht="15.75" customHeight="1">
      <c r="D845" s="30"/>
    </row>
    <row r="846" spans="4:4" ht="15.75" customHeight="1">
      <c r="D846" s="30"/>
    </row>
    <row r="847" spans="4:4" ht="15.75" customHeight="1">
      <c r="D847" s="30"/>
    </row>
    <row r="848" spans="4:4" ht="15.75" customHeight="1">
      <c r="D848" s="30"/>
    </row>
    <row r="849" spans="4:4" ht="15.75" customHeight="1">
      <c r="D849" s="30"/>
    </row>
    <row r="850" spans="4:4" ht="15.75" customHeight="1">
      <c r="D850" s="30"/>
    </row>
    <row r="851" spans="4:4" ht="15.75" customHeight="1">
      <c r="D851" s="30"/>
    </row>
    <row r="852" spans="4:4" ht="15.75" customHeight="1">
      <c r="D852" s="30"/>
    </row>
    <row r="853" spans="4:4" ht="15.75" customHeight="1">
      <c r="D853" s="30"/>
    </row>
    <row r="854" spans="4:4" ht="15.75" customHeight="1">
      <c r="D854" s="30"/>
    </row>
    <row r="855" spans="4:4" ht="15.75" customHeight="1">
      <c r="D855" s="30"/>
    </row>
    <row r="856" spans="4:4" ht="15.75" customHeight="1">
      <c r="D856" s="30"/>
    </row>
    <row r="857" spans="4:4" ht="15.75" customHeight="1">
      <c r="D857" s="30"/>
    </row>
    <row r="858" spans="4:4" ht="15.75" customHeight="1">
      <c r="D858" s="30"/>
    </row>
    <row r="859" spans="4:4" ht="15.75" customHeight="1">
      <c r="D859" s="30"/>
    </row>
    <row r="860" spans="4:4" ht="15.75" customHeight="1">
      <c r="D860" s="30"/>
    </row>
    <row r="861" spans="4:4" ht="15.75" customHeight="1">
      <c r="D861" s="30"/>
    </row>
    <row r="862" spans="4:4" ht="15.75" customHeight="1">
      <c r="D862" s="30"/>
    </row>
    <row r="863" spans="4:4" ht="15.75" customHeight="1">
      <c r="D863" s="30"/>
    </row>
    <row r="864" spans="4:4" ht="15.75" customHeight="1">
      <c r="D864" s="30"/>
    </row>
    <row r="865" spans="4:4" ht="15.75" customHeight="1">
      <c r="D865" s="30"/>
    </row>
    <row r="866" spans="4:4" ht="15.75" customHeight="1">
      <c r="D866" s="30"/>
    </row>
    <row r="867" spans="4:4" ht="15.75" customHeight="1">
      <c r="D867" s="30"/>
    </row>
    <row r="868" spans="4:4" ht="15.75" customHeight="1">
      <c r="D868" s="30"/>
    </row>
    <row r="869" spans="4:4" ht="15.75" customHeight="1">
      <c r="D869" s="30"/>
    </row>
    <row r="870" spans="4:4" ht="15.75" customHeight="1">
      <c r="D870" s="30"/>
    </row>
    <row r="871" spans="4:4" ht="15.75" customHeight="1">
      <c r="D871" s="30"/>
    </row>
    <row r="872" spans="4:4" ht="15.75" customHeight="1">
      <c r="D872" s="30"/>
    </row>
    <row r="873" spans="4:4" ht="15.75" customHeight="1">
      <c r="D873" s="30"/>
    </row>
    <row r="874" spans="4:4" ht="15.75" customHeight="1">
      <c r="D874" s="30"/>
    </row>
    <row r="875" spans="4:4" ht="15.75" customHeight="1">
      <c r="D875" s="30"/>
    </row>
    <row r="876" spans="4:4" ht="15.75" customHeight="1">
      <c r="D876" s="30"/>
    </row>
    <row r="877" spans="4:4" ht="15.75" customHeight="1">
      <c r="D877" s="30"/>
    </row>
    <row r="878" spans="4:4" ht="15.75" customHeight="1">
      <c r="D878" s="30"/>
    </row>
    <row r="879" spans="4:4" ht="15.75" customHeight="1">
      <c r="D879" s="30"/>
    </row>
    <row r="880" spans="4:4" ht="15.75" customHeight="1">
      <c r="D880" s="30"/>
    </row>
    <row r="881" spans="4:4" ht="15.75" customHeight="1">
      <c r="D881" s="30"/>
    </row>
    <row r="882" spans="4:4" ht="15.75" customHeight="1">
      <c r="D882" s="30"/>
    </row>
    <row r="883" spans="4:4" ht="15.75" customHeight="1">
      <c r="D883" s="30"/>
    </row>
    <row r="884" spans="4:4" ht="15.75" customHeight="1">
      <c r="D884" s="30"/>
    </row>
    <row r="885" spans="4:4" ht="15.75" customHeight="1">
      <c r="D885" s="30"/>
    </row>
    <row r="886" spans="4:4" ht="15.75" customHeight="1">
      <c r="D886" s="30"/>
    </row>
    <row r="887" spans="4:4" ht="15.75" customHeight="1">
      <c r="D887" s="30"/>
    </row>
    <row r="888" spans="4:4" ht="15.75" customHeight="1">
      <c r="D888" s="30"/>
    </row>
    <row r="889" spans="4:4" ht="15.75" customHeight="1">
      <c r="D889" s="30"/>
    </row>
    <row r="890" spans="4:4" ht="15.75" customHeight="1">
      <c r="D890" s="30"/>
    </row>
    <row r="891" spans="4:4" ht="15.75" customHeight="1">
      <c r="D891" s="30"/>
    </row>
    <row r="892" spans="4:4" ht="15.75" customHeight="1">
      <c r="D892" s="30"/>
    </row>
    <row r="893" spans="4:4" ht="15.75" customHeight="1">
      <c r="D893" s="30"/>
    </row>
    <row r="894" spans="4:4" ht="15.75" customHeight="1">
      <c r="D894" s="30"/>
    </row>
    <row r="895" spans="4:4" ht="15.75" customHeight="1">
      <c r="D895" s="30"/>
    </row>
    <row r="896" spans="4:4" ht="15.75" customHeight="1">
      <c r="D896" s="30"/>
    </row>
    <row r="897" spans="4:4" ht="15.75" customHeight="1">
      <c r="D897" s="30"/>
    </row>
    <row r="898" spans="4:4" ht="15.75" customHeight="1">
      <c r="D898" s="30"/>
    </row>
    <row r="899" spans="4:4" ht="15.75" customHeight="1">
      <c r="D899" s="30"/>
    </row>
    <row r="900" spans="4:4" ht="15.75" customHeight="1">
      <c r="D900" s="30"/>
    </row>
    <row r="901" spans="4:4" ht="15.75" customHeight="1">
      <c r="D901" s="30"/>
    </row>
    <row r="902" spans="4:4" ht="15.75" customHeight="1">
      <c r="D902" s="30"/>
    </row>
    <row r="903" spans="4:4" ht="15.75" customHeight="1">
      <c r="D903" s="30"/>
    </row>
    <row r="904" spans="4:4" ht="15.75" customHeight="1">
      <c r="D904" s="30"/>
    </row>
    <row r="905" spans="4:4" ht="15.75" customHeight="1">
      <c r="D905" s="30"/>
    </row>
    <row r="906" spans="4:4" ht="15.75" customHeight="1">
      <c r="D906" s="30"/>
    </row>
    <row r="907" spans="4:4" ht="15.75" customHeight="1">
      <c r="D907" s="30"/>
    </row>
    <row r="908" spans="4:4" ht="15.75" customHeight="1">
      <c r="D908" s="30"/>
    </row>
    <row r="909" spans="4:4" ht="15.75" customHeight="1">
      <c r="D909" s="30"/>
    </row>
    <row r="910" spans="4:4" ht="15.75" customHeight="1">
      <c r="D910" s="30"/>
    </row>
    <row r="911" spans="4:4" ht="15.75" customHeight="1">
      <c r="D911" s="30"/>
    </row>
    <row r="912" spans="4:4" ht="15.75" customHeight="1">
      <c r="D912" s="30"/>
    </row>
    <row r="913" spans="4:4" ht="15.75" customHeight="1">
      <c r="D913" s="30"/>
    </row>
    <row r="914" spans="4:4" ht="15.75" customHeight="1">
      <c r="D914" s="30"/>
    </row>
    <row r="915" spans="4:4" ht="15.75" customHeight="1">
      <c r="D915" s="30"/>
    </row>
    <row r="916" spans="4:4" ht="15.75" customHeight="1">
      <c r="D916" s="30"/>
    </row>
    <row r="917" spans="4:4" ht="15.75" customHeight="1">
      <c r="D917" s="30"/>
    </row>
    <row r="918" spans="4:4" ht="15.75" customHeight="1">
      <c r="D918" s="30"/>
    </row>
    <row r="919" spans="4:4" ht="15.75" customHeight="1">
      <c r="D919" s="30"/>
    </row>
    <row r="920" spans="4:4" ht="15.75" customHeight="1">
      <c r="D920" s="30"/>
    </row>
    <row r="921" spans="4:4" ht="15.75" customHeight="1">
      <c r="D921" s="30"/>
    </row>
    <row r="922" spans="4:4" ht="15.75" customHeight="1">
      <c r="D922" s="30"/>
    </row>
    <row r="923" spans="4:4" ht="15.75" customHeight="1">
      <c r="D923" s="30"/>
    </row>
    <row r="924" spans="4:4" ht="15.75" customHeight="1">
      <c r="D924" s="30"/>
    </row>
    <row r="925" spans="4:4" ht="15.75" customHeight="1">
      <c r="D925" s="30"/>
    </row>
    <row r="926" spans="4:4" ht="15.75" customHeight="1">
      <c r="D926" s="30"/>
    </row>
    <row r="927" spans="4:4" ht="15.75" customHeight="1">
      <c r="D927" s="30"/>
    </row>
    <row r="928" spans="4:4" ht="15.75" customHeight="1">
      <c r="D928" s="30"/>
    </row>
    <row r="929" spans="4:4" ht="15.75" customHeight="1">
      <c r="D929" s="30"/>
    </row>
    <row r="930" spans="4:4" ht="15.75" customHeight="1">
      <c r="D930" s="30"/>
    </row>
    <row r="931" spans="4:4" ht="15.75" customHeight="1">
      <c r="D931" s="30"/>
    </row>
    <row r="932" spans="4:4" ht="15.75" customHeight="1">
      <c r="D932" s="30"/>
    </row>
    <row r="933" spans="4:4" ht="15.75" customHeight="1">
      <c r="D933" s="30"/>
    </row>
    <row r="934" spans="4:4" ht="15.75" customHeight="1">
      <c r="D934" s="30"/>
    </row>
    <row r="935" spans="4:4" ht="15.75" customHeight="1">
      <c r="D935" s="30"/>
    </row>
    <row r="936" spans="4:4" ht="15.75" customHeight="1">
      <c r="D936" s="30"/>
    </row>
    <row r="937" spans="4:4" ht="15.75" customHeight="1">
      <c r="D937" s="30"/>
    </row>
    <row r="938" spans="4:4" ht="15.75" customHeight="1">
      <c r="D938" s="30"/>
    </row>
    <row r="939" spans="4:4" ht="15.75" customHeight="1">
      <c r="D939" s="30"/>
    </row>
    <row r="940" spans="4:4" ht="15.75" customHeight="1">
      <c r="D940" s="30"/>
    </row>
    <row r="941" spans="4:4" ht="15.75" customHeight="1">
      <c r="D941" s="30"/>
    </row>
    <row r="942" spans="4:4" ht="15.75" customHeight="1">
      <c r="D942" s="30"/>
    </row>
    <row r="943" spans="4:4" ht="15.75" customHeight="1">
      <c r="D943" s="30"/>
    </row>
    <row r="944" spans="4:4" ht="15.75" customHeight="1">
      <c r="D944" s="30"/>
    </row>
    <row r="945" spans="4:4" ht="15.75" customHeight="1">
      <c r="D945" s="30"/>
    </row>
    <row r="946" spans="4:4" ht="15.75" customHeight="1">
      <c r="D946" s="30"/>
    </row>
    <row r="947" spans="4:4" ht="15.75" customHeight="1">
      <c r="D947" s="30"/>
    </row>
    <row r="948" spans="4:4" ht="15.75" customHeight="1">
      <c r="D948" s="30"/>
    </row>
    <row r="949" spans="4:4" ht="15.75" customHeight="1">
      <c r="D949" s="30"/>
    </row>
    <row r="950" spans="4:4" ht="15.75" customHeight="1">
      <c r="D950" s="30"/>
    </row>
    <row r="951" spans="4:4" ht="15.75" customHeight="1">
      <c r="D951" s="30"/>
    </row>
    <row r="952" spans="4:4" ht="15.75" customHeight="1">
      <c r="D952" s="30"/>
    </row>
    <row r="953" spans="4:4" ht="15.75" customHeight="1">
      <c r="D953" s="30"/>
    </row>
    <row r="954" spans="4:4" ht="15.75" customHeight="1">
      <c r="D954" s="30"/>
    </row>
    <row r="955" spans="4:4" ht="15.75" customHeight="1">
      <c r="D955" s="30"/>
    </row>
    <row r="956" spans="4:4" ht="15.75" customHeight="1">
      <c r="D956" s="30"/>
    </row>
    <row r="957" spans="4:4" ht="15.75" customHeight="1">
      <c r="D957" s="30"/>
    </row>
    <row r="958" spans="4:4" ht="15.75" customHeight="1">
      <c r="D958" s="30"/>
    </row>
    <row r="959" spans="4:4" ht="15.75" customHeight="1">
      <c r="D959" s="30"/>
    </row>
    <row r="960" spans="4:4" ht="15.75" customHeight="1">
      <c r="D960" s="30"/>
    </row>
    <row r="961" spans="4:4" ht="15.75" customHeight="1">
      <c r="D961" s="30"/>
    </row>
    <row r="962" spans="4:4" ht="15.75" customHeight="1">
      <c r="D962" s="30"/>
    </row>
    <row r="963" spans="4:4" ht="15.75" customHeight="1">
      <c r="D963" s="30"/>
    </row>
    <row r="964" spans="4:4" ht="15.75" customHeight="1">
      <c r="D964" s="30"/>
    </row>
    <row r="965" spans="4:4" ht="15.75" customHeight="1">
      <c r="D965" s="30"/>
    </row>
    <row r="966" spans="4:4" ht="15.75" customHeight="1">
      <c r="D966" s="30"/>
    </row>
    <row r="967" spans="4:4" ht="15.75" customHeight="1">
      <c r="D967" s="30"/>
    </row>
    <row r="968" spans="4:4" ht="15.75" customHeight="1">
      <c r="D968" s="30"/>
    </row>
    <row r="969" spans="4:4" ht="15.75" customHeight="1">
      <c r="D969" s="30"/>
    </row>
    <row r="970" spans="4:4" ht="15.75" customHeight="1">
      <c r="D970" s="30"/>
    </row>
    <row r="971" spans="4:4" ht="15.75" customHeight="1">
      <c r="D971" s="30"/>
    </row>
    <row r="972" spans="4:4" ht="15.75" customHeight="1">
      <c r="D972" s="30"/>
    </row>
    <row r="973" spans="4:4" ht="15.75" customHeight="1">
      <c r="D973" s="30"/>
    </row>
    <row r="974" spans="4:4" ht="15.75" customHeight="1">
      <c r="D974" s="30"/>
    </row>
    <row r="975" spans="4:4" ht="15.75" customHeight="1">
      <c r="D975" s="30"/>
    </row>
    <row r="976" spans="4:4" ht="15.75" customHeight="1">
      <c r="D976" s="30"/>
    </row>
    <row r="977" spans="4:4" ht="15.75" customHeight="1">
      <c r="D977" s="30"/>
    </row>
    <row r="978" spans="4:4" ht="15.75" customHeight="1">
      <c r="D978" s="30"/>
    </row>
    <row r="979" spans="4:4" ht="15.75" customHeight="1">
      <c r="D979" s="30"/>
    </row>
    <row r="980" spans="4:4" ht="15.75" customHeight="1">
      <c r="D980" s="30"/>
    </row>
    <row r="981" spans="4:4" ht="15.75" customHeight="1">
      <c r="D981" s="30"/>
    </row>
    <row r="982" spans="4:4" ht="15.75" customHeight="1">
      <c r="D982" s="30"/>
    </row>
    <row r="983" spans="4:4" ht="15.75" customHeight="1">
      <c r="D983" s="30"/>
    </row>
    <row r="984" spans="4:4" ht="15.75" customHeight="1">
      <c r="D984" s="30"/>
    </row>
    <row r="985" spans="4:4" ht="15.75" customHeight="1">
      <c r="D985" s="30"/>
    </row>
    <row r="986" spans="4:4" ht="15.75" customHeight="1">
      <c r="D986" s="30"/>
    </row>
    <row r="987" spans="4:4" ht="15.75" customHeight="1">
      <c r="D987" s="30"/>
    </row>
    <row r="988" spans="4:4" ht="15.75" customHeight="1">
      <c r="D988" s="30"/>
    </row>
    <row r="989" spans="4:4" ht="15.75" customHeight="1">
      <c r="D989" s="30"/>
    </row>
    <row r="990" spans="4:4" ht="15.75" customHeight="1">
      <c r="D990" s="30"/>
    </row>
    <row r="991" spans="4:4" ht="15.75" customHeight="1">
      <c r="D991" s="30"/>
    </row>
    <row r="992" spans="4:4" ht="15.75" customHeight="1">
      <c r="D992" s="30"/>
    </row>
    <row r="993" spans="4:4" ht="15.75" customHeight="1">
      <c r="D993" s="30"/>
    </row>
    <row r="994" spans="4:4" ht="15.75" customHeight="1">
      <c r="D994" s="30"/>
    </row>
    <row r="995" spans="4:4" ht="15.75" customHeight="1">
      <c r="D995" s="30"/>
    </row>
    <row r="996" spans="4:4" ht="15.75" customHeight="1">
      <c r="D996" s="30"/>
    </row>
    <row r="997" spans="4:4" ht="15.75" customHeight="1">
      <c r="D997" s="30"/>
    </row>
    <row r="998" spans="4:4" ht="15.75" customHeight="1">
      <c r="D998" s="30"/>
    </row>
    <row r="999" spans="4:4" ht="15.75" customHeight="1">
      <c r="D999" s="30"/>
    </row>
    <row r="1000" spans="4:4" ht="15.75" customHeight="1">
      <c r="D1000" s="30"/>
    </row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4.44140625" defaultRowHeight="15" customHeight="1"/>
  <cols>
    <col min="1" max="1" width="5.6640625" customWidth="1"/>
    <col min="2" max="7" width="24" customWidth="1"/>
    <col min="8" max="26" width="11.5546875" customWidth="1"/>
  </cols>
  <sheetData>
    <row r="2" spans="1:26" ht="14.4">
      <c r="B2" s="116" t="s">
        <v>1642</v>
      </c>
      <c r="C2" s="115"/>
      <c r="D2" s="115"/>
      <c r="E2" s="115"/>
      <c r="F2" s="115"/>
      <c r="G2" s="115"/>
    </row>
    <row r="3" spans="1:26" ht="21.75" customHeight="1">
      <c r="G3" s="31">
        <f>SUM('Inf. Cierre SAP C.M'!$G$5:$G$29)</f>
        <v>0</v>
      </c>
    </row>
    <row r="4" spans="1:26" ht="14.4">
      <c r="A4" s="30"/>
      <c r="B4" s="75" t="s">
        <v>1643</v>
      </c>
      <c r="C4" s="75" t="s">
        <v>1644</v>
      </c>
      <c r="D4" s="75" t="s">
        <v>1645</v>
      </c>
      <c r="E4" s="75" t="s">
        <v>1646</v>
      </c>
      <c r="F4" s="75" t="s">
        <v>1647</v>
      </c>
      <c r="G4" s="75" t="s">
        <v>1648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4">
      <c r="B5" s="76"/>
      <c r="C5" s="76"/>
      <c r="D5" s="76"/>
      <c r="E5" s="76"/>
      <c r="F5" s="76"/>
      <c r="G5" s="77"/>
    </row>
    <row r="6" spans="1:26" ht="14.4">
      <c r="B6" s="76"/>
      <c r="C6" s="76"/>
      <c r="D6" s="76"/>
      <c r="E6" s="76"/>
      <c r="F6" s="76"/>
      <c r="G6" s="77"/>
    </row>
    <row r="7" spans="1:26" ht="14.4">
      <c r="B7" s="76"/>
      <c r="C7" s="76"/>
      <c r="D7" s="76"/>
      <c r="E7" s="76"/>
      <c r="F7" s="76"/>
      <c r="G7" s="77"/>
    </row>
    <row r="8" spans="1:26" ht="14.4">
      <c r="B8" s="76"/>
      <c r="C8" s="76"/>
      <c r="D8" s="76"/>
      <c r="E8" s="76"/>
      <c r="F8" s="76"/>
      <c r="G8" s="77"/>
    </row>
    <row r="9" spans="1:26" ht="14.4">
      <c r="B9" s="76"/>
      <c r="C9" s="76"/>
      <c r="D9" s="76"/>
      <c r="E9" s="76"/>
      <c r="F9" s="76"/>
      <c r="G9" s="77"/>
    </row>
    <row r="10" spans="1:26" ht="14.4">
      <c r="B10" s="76"/>
      <c r="C10" s="76"/>
      <c r="D10" s="76"/>
      <c r="E10" s="76"/>
      <c r="F10" s="76"/>
      <c r="G10" s="77"/>
    </row>
    <row r="11" spans="1:26" ht="14.4">
      <c r="B11" s="76"/>
      <c r="C11" s="76"/>
      <c r="D11" s="76"/>
      <c r="E11" s="76"/>
      <c r="F11" s="76"/>
      <c r="G11" s="77"/>
    </row>
    <row r="12" spans="1:26" ht="14.4">
      <c r="B12" s="76"/>
      <c r="C12" s="76"/>
      <c r="D12" s="76"/>
      <c r="E12" s="76"/>
      <c r="F12" s="76"/>
      <c r="G12" s="77"/>
    </row>
    <row r="13" spans="1:26" ht="14.4">
      <c r="B13" s="76"/>
      <c r="C13" s="76"/>
      <c r="D13" s="76"/>
      <c r="E13" s="76"/>
      <c r="F13" s="76"/>
      <c r="G13" s="77"/>
    </row>
    <row r="14" spans="1:26" ht="14.4">
      <c r="B14" s="76"/>
      <c r="C14" s="76"/>
      <c r="D14" s="76"/>
      <c r="E14" s="76"/>
      <c r="F14" s="76"/>
      <c r="G14" s="77"/>
    </row>
    <row r="15" spans="1:26" ht="14.4">
      <c r="B15" s="76"/>
      <c r="C15" s="76"/>
      <c r="D15" s="76"/>
      <c r="E15" s="76"/>
      <c r="F15" s="76"/>
      <c r="G15" s="77"/>
    </row>
    <row r="16" spans="1:26" ht="14.4">
      <c r="B16" s="76"/>
      <c r="C16" s="76"/>
      <c r="D16" s="76"/>
      <c r="E16" s="76"/>
      <c r="F16" s="76"/>
      <c r="G16" s="77"/>
    </row>
    <row r="17" spans="2:7" ht="14.4">
      <c r="B17" s="76"/>
      <c r="C17" s="76"/>
      <c r="D17" s="76"/>
      <c r="E17" s="76"/>
      <c r="F17" s="76"/>
      <c r="G17" s="77"/>
    </row>
    <row r="18" spans="2:7" ht="14.4">
      <c r="B18" s="76"/>
      <c r="C18" s="76"/>
      <c r="D18" s="76"/>
      <c r="E18" s="76"/>
      <c r="F18" s="76"/>
      <c r="G18" s="77"/>
    </row>
    <row r="19" spans="2:7" ht="14.4">
      <c r="B19" s="76"/>
      <c r="C19" s="76"/>
      <c r="D19" s="76"/>
      <c r="E19" s="76"/>
      <c r="F19" s="76"/>
      <c r="G19" s="77"/>
    </row>
    <row r="20" spans="2:7" ht="14.4">
      <c r="B20" s="76"/>
      <c r="C20" s="76"/>
      <c r="D20" s="76"/>
      <c r="E20" s="76"/>
      <c r="F20" s="76"/>
      <c r="G20" s="77"/>
    </row>
    <row r="21" spans="2:7" ht="15.75" customHeight="1">
      <c r="B21" s="76"/>
      <c r="C21" s="76"/>
      <c r="D21" s="76"/>
      <c r="E21" s="76"/>
      <c r="F21" s="76"/>
      <c r="G21" s="77"/>
    </row>
    <row r="22" spans="2:7" ht="15.75" customHeight="1">
      <c r="B22" s="76"/>
      <c r="C22" s="76"/>
      <c r="D22" s="76"/>
      <c r="E22" s="76"/>
      <c r="F22" s="76"/>
      <c r="G22" s="77"/>
    </row>
    <row r="23" spans="2:7" ht="15.75" customHeight="1">
      <c r="B23" s="76"/>
      <c r="C23" s="76"/>
      <c r="D23" s="76"/>
      <c r="E23" s="76"/>
      <c r="F23" s="76"/>
      <c r="G23" s="77"/>
    </row>
    <row r="24" spans="2:7" ht="15.75" customHeight="1">
      <c r="B24" s="76"/>
      <c r="C24" s="76"/>
      <c r="D24" s="76"/>
      <c r="E24" s="76"/>
      <c r="F24" s="76"/>
      <c r="G24" s="77"/>
    </row>
    <row r="25" spans="2:7" ht="15.75" customHeight="1">
      <c r="B25" s="76"/>
      <c r="C25" s="76"/>
      <c r="D25" s="76"/>
      <c r="E25" s="76"/>
      <c r="F25" s="76"/>
      <c r="G25" s="77"/>
    </row>
    <row r="26" spans="2:7" ht="15.75" customHeight="1">
      <c r="B26" s="76"/>
      <c r="C26" s="76"/>
      <c r="D26" s="76"/>
      <c r="E26" s="76"/>
      <c r="F26" s="76"/>
      <c r="G26" s="77"/>
    </row>
    <row r="27" spans="2:7" ht="15.75" customHeight="1">
      <c r="B27" s="76"/>
      <c r="C27" s="76"/>
      <c r="D27" s="76"/>
      <c r="E27" s="76"/>
      <c r="F27" s="76"/>
      <c r="G27" s="77"/>
    </row>
    <row r="28" spans="2:7" ht="15.75" customHeight="1">
      <c r="B28" s="76"/>
      <c r="C28" s="76"/>
      <c r="D28" s="76"/>
      <c r="E28" s="76"/>
      <c r="F28" s="76"/>
      <c r="G28" s="77"/>
    </row>
    <row r="29" spans="2:7" ht="15.75" customHeight="1">
      <c r="B29" s="78"/>
      <c r="C29" s="78"/>
      <c r="D29" s="78"/>
      <c r="E29" s="78"/>
      <c r="F29" s="78"/>
      <c r="G29" s="79"/>
    </row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Liquidación</vt:lpstr>
      <vt:lpstr>Preciario SAT BT</vt:lpstr>
      <vt:lpstr>Lista de Tiendas</vt:lpstr>
      <vt:lpstr>Inf. Cierre SAP C.M</vt:lpstr>
      <vt:lpstr>Liquidación!Área_de_impresión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Gian Carlos Avalo Galardo</cp:lastModifiedBy>
  <dcterms:created xsi:type="dcterms:W3CDTF">2019-07-01T21:52:29Z</dcterms:created>
  <dcterms:modified xsi:type="dcterms:W3CDTF">2026-01-19T21:36:17Z</dcterms:modified>
</cp:coreProperties>
</file>